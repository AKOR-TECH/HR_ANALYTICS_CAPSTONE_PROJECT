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KOR\Desktop\"/>
    </mc:Choice>
  </mc:AlternateContent>
  <xr:revisionPtr revIDLastSave="0" documentId="13_ncr:1_{EF344166-7239-457F-B47F-F83B0A611448}" xr6:coauthVersionLast="47" xr6:coauthVersionMax="47" xr10:uidLastSave="{00000000-0000-0000-0000-000000000000}"/>
  <bookViews>
    <workbookView xWindow="-120" yWindow="-120" windowWidth="24240" windowHeight="13740" xr2:uid="{00000000-000D-0000-FFFF-FFFF00000000}"/>
  </bookViews>
  <sheets>
    <sheet name="Dashboard" sheetId="12" r:id="rId1"/>
    <sheet name="Analysis Chart" sheetId="8" r:id="rId2"/>
    <sheet name="Analysis" sheetId="7" r:id="rId3"/>
    <sheet name="Cleaned_Employee_Data " sheetId="5" r:id="rId4"/>
    <sheet name="Raw_Employee_Data" sheetId="1" r:id="rId5"/>
    <sheet name="Lookup_Departments" sheetId="2" r:id="rId6"/>
    <sheet name="Lookup_Performance" sheetId="3" r:id="rId7"/>
  </sheets>
  <definedNames>
    <definedName name="Slicer_Bonus_Percentage">#N/A</definedName>
    <definedName name="Slicer_Dept_Code">#N/A</definedName>
    <definedName name="Slicer_Employment_Status">#N/A</definedName>
    <definedName name="Slicer_Performance_Ban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7" l="1"/>
  <c r="I7" i="7"/>
  <c r="I8" i="7"/>
  <c r="I9" i="7"/>
  <c r="I10" i="7"/>
  <c r="I5" i="7"/>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2" i="5"/>
  <c r="C2" i="5"/>
  <c r="D2" i="5" s="1"/>
  <c r="J3" i="5"/>
  <c r="L3" i="5" s="1"/>
  <c r="J4" i="5"/>
  <c r="L4" i="5" s="1"/>
  <c r="J5" i="5"/>
  <c r="L5" i="5" s="1"/>
  <c r="J6" i="5"/>
  <c r="L6" i="5" s="1"/>
  <c r="J7" i="5"/>
  <c r="L7" i="5" s="1"/>
  <c r="J8" i="5"/>
  <c r="L8" i="5" s="1"/>
  <c r="J9" i="5"/>
  <c r="L9" i="5" s="1"/>
  <c r="J10" i="5"/>
  <c r="L10" i="5" s="1"/>
  <c r="J11" i="5"/>
  <c r="L11" i="5" s="1"/>
  <c r="J12" i="5"/>
  <c r="L12" i="5" s="1"/>
  <c r="J13" i="5"/>
  <c r="L13" i="5" s="1"/>
  <c r="J14" i="5"/>
  <c r="L14" i="5" s="1"/>
  <c r="J15" i="5"/>
  <c r="L15" i="5" s="1"/>
  <c r="J16" i="5"/>
  <c r="L16" i="5" s="1"/>
  <c r="J17" i="5"/>
  <c r="L17" i="5" s="1"/>
  <c r="J18" i="5"/>
  <c r="L18" i="5" s="1"/>
  <c r="J19" i="5"/>
  <c r="L19" i="5" s="1"/>
  <c r="J20" i="5"/>
  <c r="L20" i="5" s="1"/>
  <c r="J21" i="5"/>
  <c r="L21" i="5" s="1"/>
  <c r="J22" i="5"/>
  <c r="L22" i="5" s="1"/>
  <c r="J23" i="5"/>
  <c r="L23" i="5" s="1"/>
  <c r="J24" i="5"/>
  <c r="L24" i="5" s="1"/>
  <c r="J25" i="5"/>
  <c r="L25" i="5" s="1"/>
  <c r="J26" i="5"/>
  <c r="L26" i="5" s="1"/>
  <c r="J27" i="5"/>
  <c r="L27" i="5" s="1"/>
  <c r="J28" i="5"/>
  <c r="L28" i="5" s="1"/>
  <c r="J29" i="5"/>
  <c r="L29" i="5" s="1"/>
  <c r="J30" i="5"/>
  <c r="L30" i="5" s="1"/>
  <c r="J31" i="5"/>
  <c r="L31" i="5" s="1"/>
  <c r="J32" i="5"/>
  <c r="L32" i="5" s="1"/>
  <c r="J33" i="5"/>
  <c r="L33" i="5" s="1"/>
  <c r="J34" i="5"/>
  <c r="L34" i="5" s="1"/>
  <c r="J35" i="5"/>
  <c r="L35" i="5" s="1"/>
  <c r="J36" i="5"/>
  <c r="L36" i="5" s="1"/>
  <c r="J37" i="5"/>
  <c r="L37" i="5" s="1"/>
  <c r="J38" i="5"/>
  <c r="L38" i="5" s="1"/>
  <c r="J39" i="5"/>
  <c r="L39" i="5" s="1"/>
  <c r="J40" i="5"/>
  <c r="L40" i="5" s="1"/>
  <c r="J41" i="5"/>
  <c r="L41" i="5" s="1"/>
  <c r="J42" i="5"/>
  <c r="L42" i="5" s="1"/>
  <c r="J43" i="5"/>
  <c r="L43" i="5" s="1"/>
  <c r="J44" i="5"/>
  <c r="L44" i="5" s="1"/>
  <c r="J45" i="5"/>
  <c r="L45" i="5" s="1"/>
  <c r="J46" i="5"/>
  <c r="L46" i="5" s="1"/>
  <c r="J47" i="5"/>
  <c r="L47" i="5" s="1"/>
  <c r="J48" i="5"/>
  <c r="L48" i="5" s="1"/>
  <c r="J49" i="5"/>
  <c r="L49" i="5" s="1"/>
  <c r="J50" i="5"/>
  <c r="L50" i="5" s="1"/>
  <c r="J51" i="5"/>
  <c r="L51" i="5" s="1"/>
  <c r="J52" i="5"/>
  <c r="L52" i="5" s="1"/>
  <c r="J53" i="5"/>
  <c r="L53" i="5" s="1"/>
  <c r="J54" i="5"/>
  <c r="L54" i="5" s="1"/>
  <c r="J55" i="5"/>
  <c r="L55" i="5" s="1"/>
  <c r="J56" i="5"/>
  <c r="L56" i="5" s="1"/>
  <c r="J57" i="5"/>
  <c r="L57" i="5" s="1"/>
  <c r="J58" i="5"/>
  <c r="L58" i="5" s="1"/>
  <c r="J59" i="5"/>
  <c r="L59" i="5" s="1"/>
  <c r="J60" i="5"/>
  <c r="L60" i="5" s="1"/>
  <c r="J61" i="5"/>
  <c r="L61" i="5" s="1"/>
  <c r="J62" i="5"/>
  <c r="L62" i="5" s="1"/>
  <c r="J63" i="5"/>
  <c r="L63" i="5" s="1"/>
  <c r="J64" i="5"/>
  <c r="L64" i="5" s="1"/>
  <c r="J65" i="5"/>
  <c r="L65" i="5" s="1"/>
  <c r="J66" i="5"/>
  <c r="L66" i="5" s="1"/>
  <c r="J67" i="5"/>
  <c r="L67" i="5" s="1"/>
  <c r="J68" i="5"/>
  <c r="L68" i="5" s="1"/>
  <c r="J69" i="5"/>
  <c r="L69" i="5" s="1"/>
  <c r="J70" i="5"/>
  <c r="L70" i="5" s="1"/>
  <c r="J71" i="5"/>
  <c r="L71" i="5" s="1"/>
  <c r="J72" i="5"/>
  <c r="L72" i="5" s="1"/>
  <c r="J73" i="5"/>
  <c r="L73" i="5" s="1"/>
  <c r="J74" i="5"/>
  <c r="L74" i="5" s="1"/>
  <c r="J75" i="5"/>
  <c r="L75" i="5" s="1"/>
  <c r="J76" i="5"/>
  <c r="L76" i="5" s="1"/>
  <c r="J77" i="5"/>
  <c r="L77" i="5" s="1"/>
  <c r="J78" i="5"/>
  <c r="L78" i="5" s="1"/>
  <c r="J79" i="5"/>
  <c r="L79" i="5" s="1"/>
  <c r="J80" i="5"/>
  <c r="L80" i="5" s="1"/>
  <c r="J81" i="5"/>
  <c r="L81" i="5" s="1"/>
  <c r="J82" i="5"/>
  <c r="L82" i="5" s="1"/>
  <c r="J83" i="5"/>
  <c r="L83" i="5" s="1"/>
  <c r="J84" i="5"/>
  <c r="L84" i="5" s="1"/>
  <c r="J85" i="5"/>
  <c r="L85" i="5" s="1"/>
  <c r="J86" i="5"/>
  <c r="L86" i="5" s="1"/>
  <c r="J87" i="5"/>
  <c r="L87" i="5" s="1"/>
  <c r="J88" i="5"/>
  <c r="L88" i="5" s="1"/>
  <c r="J89" i="5"/>
  <c r="L89" i="5" s="1"/>
  <c r="J90" i="5"/>
  <c r="L90" i="5" s="1"/>
  <c r="J91" i="5"/>
  <c r="L91" i="5" s="1"/>
  <c r="J92" i="5"/>
  <c r="L92" i="5" s="1"/>
  <c r="J93" i="5"/>
  <c r="L93" i="5" s="1"/>
  <c r="J94" i="5"/>
  <c r="L94" i="5" s="1"/>
  <c r="J95" i="5"/>
  <c r="L95" i="5" s="1"/>
  <c r="J96" i="5"/>
  <c r="L96" i="5" s="1"/>
  <c r="J97" i="5"/>
  <c r="L97" i="5" s="1"/>
  <c r="J98" i="5"/>
  <c r="L98" i="5" s="1"/>
  <c r="J99" i="5"/>
  <c r="L99" i="5" s="1"/>
  <c r="J100" i="5"/>
  <c r="L100" i="5" s="1"/>
  <c r="J101" i="5"/>
  <c r="L101" i="5" s="1"/>
  <c r="J102" i="5"/>
  <c r="L102" i="5" s="1"/>
  <c r="J103" i="5"/>
  <c r="L103" i="5" s="1"/>
  <c r="J104" i="5"/>
  <c r="L104" i="5" s="1"/>
  <c r="J105" i="5"/>
  <c r="L105" i="5" s="1"/>
  <c r="J106" i="5"/>
  <c r="L106" i="5" s="1"/>
  <c r="J107" i="5"/>
  <c r="L107" i="5" s="1"/>
  <c r="J108" i="5"/>
  <c r="L108" i="5" s="1"/>
  <c r="J109" i="5"/>
  <c r="L109" i="5" s="1"/>
  <c r="J110" i="5"/>
  <c r="L110" i="5" s="1"/>
  <c r="J111" i="5"/>
  <c r="L111" i="5" s="1"/>
  <c r="J112" i="5"/>
  <c r="L112" i="5" s="1"/>
  <c r="J113" i="5"/>
  <c r="L113" i="5" s="1"/>
  <c r="J114" i="5"/>
  <c r="L114" i="5" s="1"/>
  <c r="J115" i="5"/>
  <c r="L115" i="5" s="1"/>
  <c r="J116" i="5"/>
  <c r="L116" i="5" s="1"/>
  <c r="J117" i="5"/>
  <c r="L117" i="5" s="1"/>
  <c r="J118" i="5"/>
  <c r="L118" i="5" s="1"/>
  <c r="J119" i="5"/>
  <c r="L119" i="5" s="1"/>
  <c r="J120" i="5"/>
  <c r="L120" i="5" s="1"/>
  <c r="J121" i="5"/>
  <c r="L121" i="5" s="1"/>
  <c r="J122" i="5"/>
  <c r="L122" i="5" s="1"/>
  <c r="J123" i="5"/>
  <c r="L123" i="5" s="1"/>
  <c r="J124" i="5"/>
  <c r="L124" i="5" s="1"/>
  <c r="J125" i="5"/>
  <c r="L125" i="5" s="1"/>
  <c r="J126" i="5"/>
  <c r="L126" i="5" s="1"/>
  <c r="J127" i="5"/>
  <c r="L127" i="5" s="1"/>
  <c r="J128" i="5"/>
  <c r="L128" i="5" s="1"/>
  <c r="J129" i="5"/>
  <c r="L129" i="5" s="1"/>
  <c r="J130" i="5"/>
  <c r="L130" i="5" s="1"/>
  <c r="J131" i="5"/>
  <c r="L131" i="5" s="1"/>
  <c r="J132" i="5"/>
  <c r="L132" i="5" s="1"/>
  <c r="J133" i="5"/>
  <c r="L133" i="5" s="1"/>
  <c r="J134" i="5"/>
  <c r="L134" i="5" s="1"/>
  <c r="J135" i="5"/>
  <c r="L135" i="5" s="1"/>
  <c r="J136" i="5"/>
  <c r="L136" i="5" s="1"/>
  <c r="J137" i="5"/>
  <c r="L137" i="5" s="1"/>
  <c r="J138" i="5"/>
  <c r="L138" i="5" s="1"/>
  <c r="J139" i="5"/>
  <c r="L139" i="5" s="1"/>
  <c r="J140" i="5"/>
  <c r="L140" i="5" s="1"/>
  <c r="J141" i="5"/>
  <c r="L141" i="5" s="1"/>
  <c r="J142" i="5"/>
  <c r="L142" i="5" s="1"/>
  <c r="J143" i="5"/>
  <c r="L143" i="5" s="1"/>
  <c r="J144" i="5"/>
  <c r="L144" i="5" s="1"/>
  <c r="J145" i="5"/>
  <c r="L145" i="5" s="1"/>
  <c r="J146" i="5"/>
  <c r="L146" i="5" s="1"/>
  <c r="J147" i="5"/>
  <c r="L147" i="5" s="1"/>
  <c r="J148" i="5"/>
  <c r="L148" i="5" s="1"/>
  <c r="J149" i="5"/>
  <c r="L149" i="5" s="1"/>
  <c r="J150" i="5"/>
  <c r="L150" i="5" s="1"/>
  <c r="J151" i="5"/>
  <c r="L151" i="5" s="1"/>
  <c r="J2" i="5"/>
  <c r="L2" i="5" s="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2" i="5"/>
  <c r="C3" i="5"/>
  <c r="D3" i="5" s="1"/>
  <c r="C4" i="5"/>
  <c r="D4" i="5" s="1"/>
  <c r="C5" i="5"/>
  <c r="D5" i="5" s="1"/>
  <c r="C6" i="5"/>
  <c r="D6" i="5" s="1"/>
  <c r="C7" i="5"/>
  <c r="D7" i="5" s="1"/>
  <c r="C8" i="5"/>
  <c r="D8" i="5" s="1"/>
  <c r="C9" i="5"/>
  <c r="D9" i="5" s="1"/>
  <c r="C10" i="5"/>
  <c r="D10" i="5" s="1"/>
  <c r="C11" i="5"/>
  <c r="D11" i="5" s="1"/>
  <c r="C12" i="5"/>
  <c r="D12" i="5" s="1"/>
  <c r="C13" i="5"/>
  <c r="D13" i="5" s="1"/>
  <c r="C14" i="5"/>
  <c r="D14" i="5" s="1"/>
  <c r="C15" i="5"/>
  <c r="D15" i="5" s="1"/>
  <c r="C16" i="5"/>
  <c r="D16" i="5" s="1"/>
  <c r="C17" i="5"/>
  <c r="D17" i="5" s="1"/>
  <c r="C18" i="5"/>
  <c r="D18" i="5" s="1"/>
  <c r="C19" i="5"/>
  <c r="D19" i="5" s="1"/>
  <c r="C20" i="5"/>
  <c r="D20" i="5" s="1"/>
  <c r="C21" i="5"/>
  <c r="D21" i="5" s="1"/>
  <c r="C22" i="5"/>
  <c r="D22" i="5" s="1"/>
  <c r="C23" i="5"/>
  <c r="D23" i="5" s="1"/>
  <c r="C24" i="5"/>
  <c r="D24" i="5" s="1"/>
  <c r="C25" i="5"/>
  <c r="D25" i="5" s="1"/>
  <c r="C26" i="5"/>
  <c r="D26" i="5" s="1"/>
  <c r="C27" i="5"/>
  <c r="D27" i="5" s="1"/>
  <c r="C28" i="5"/>
  <c r="D28" i="5" s="1"/>
  <c r="C29" i="5"/>
  <c r="D29" i="5" s="1"/>
  <c r="C30" i="5"/>
  <c r="D30" i="5" s="1"/>
  <c r="C31" i="5"/>
  <c r="D31" i="5" s="1"/>
  <c r="C32" i="5"/>
  <c r="D32" i="5" s="1"/>
  <c r="C33" i="5"/>
  <c r="D33" i="5" s="1"/>
  <c r="C34" i="5"/>
  <c r="D34" i="5" s="1"/>
  <c r="C35" i="5"/>
  <c r="D35" i="5" s="1"/>
  <c r="C36" i="5"/>
  <c r="D36" i="5" s="1"/>
  <c r="C37" i="5"/>
  <c r="D37" i="5" s="1"/>
  <c r="C38" i="5"/>
  <c r="D38" i="5" s="1"/>
  <c r="C39" i="5"/>
  <c r="D39" i="5" s="1"/>
  <c r="C40" i="5"/>
  <c r="D40" i="5" s="1"/>
  <c r="C41" i="5"/>
  <c r="D41" i="5" s="1"/>
  <c r="C42" i="5"/>
  <c r="D42" i="5" s="1"/>
  <c r="C43" i="5"/>
  <c r="D43" i="5" s="1"/>
  <c r="C44" i="5"/>
  <c r="D44" i="5" s="1"/>
  <c r="C45" i="5"/>
  <c r="D45" i="5" s="1"/>
  <c r="C46" i="5"/>
  <c r="D46" i="5" s="1"/>
  <c r="C47" i="5"/>
  <c r="D47" i="5" s="1"/>
  <c r="C48" i="5"/>
  <c r="D48" i="5" s="1"/>
  <c r="C49" i="5"/>
  <c r="D49" i="5" s="1"/>
  <c r="C50" i="5"/>
  <c r="D50" i="5" s="1"/>
  <c r="C51" i="5"/>
  <c r="D51" i="5" s="1"/>
  <c r="C52" i="5"/>
  <c r="D52" i="5" s="1"/>
  <c r="C53" i="5"/>
  <c r="D53" i="5" s="1"/>
  <c r="C54" i="5"/>
  <c r="D54" i="5" s="1"/>
  <c r="C55" i="5"/>
  <c r="D55" i="5" s="1"/>
  <c r="C56" i="5"/>
  <c r="D56" i="5" s="1"/>
  <c r="C57" i="5"/>
  <c r="D57" i="5" s="1"/>
  <c r="C58" i="5"/>
  <c r="D58" i="5" s="1"/>
  <c r="C59" i="5"/>
  <c r="D59" i="5" s="1"/>
  <c r="C60" i="5"/>
  <c r="D60" i="5" s="1"/>
  <c r="C61" i="5"/>
  <c r="D61" i="5" s="1"/>
  <c r="C62" i="5"/>
  <c r="D62" i="5" s="1"/>
  <c r="C63" i="5"/>
  <c r="D63" i="5" s="1"/>
  <c r="C64" i="5"/>
  <c r="D64" i="5" s="1"/>
  <c r="C65" i="5"/>
  <c r="D65" i="5" s="1"/>
  <c r="C66" i="5"/>
  <c r="D66" i="5" s="1"/>
  <c r="C67" i="5"/>
  <c r="D67" i="5" s="1"/>
  <c r="C68" i="5"/>
  <c r="D68" i="5" s="1"/>
  <c r="C69" i="5"/>
  <c r="D69" i="5" s="1"/>
  <c r="C70" i="5"/>
  <c r="D70" i="5" s="1"/>
  <c r="C71" i="5"/>
  <c r="D71" i="5" s="1"/>
  <c r="C72" i="5"/>
  <c r="D72" i="5" s="1"/>
  <c r="C73" i="5"/>
  <c r="D73" i="5" s="1"/>
  <c r="C74" i="5"/>
  <c r="D74" i="5" s="1"/>
  <c r="C75" i="5"/>
  <c r="D75" i="5" s="1"/>
  <c r="C76" i="5"/>
  <c r="D76" i="5" s="1"/>
  <c r="C77" i="5"/>
  <c r="D77" i="5" s="1"/>
  <c r="C78" i="5"/>
  <c r="D78" i="5" s="1"/>
  <c r="C79" i="5"/>
  <c r="D79" i="5" s="1"/>
  <c r="C80" i="5"/>
  <c r="D80" i="5" s="1"/>
  <c r="C81" i="5"/>
  <c r="D81" i="5" s="1"/>
  <c r="C82" i="5"/>
  <c r="D82" i="5" s="1"/>
  <c r="C83" i="5"/>
  <c r="D83" i="5" s="1"/>
  <c r="C84" i="5"/>
  <c r="D84" i="5" s="1"/>
  <c r="C85" i="5"/>
  <c r="D85" i="5" s="1"/>
  <c r="C86" i="5"/>
  <c r="D86" i="5" s="1"/>
  <c r="C87" i="5"/>
  <c r="D87" i="5" s="1"/>
  <c r="C88" i="5"/>
  <c r="D88" i="5" s="1"/>
  <c r="C89" i="5"/>
  <c r="D89" i="5" s="1"/>
  <c r="C90" i="5"/>
  <c r="D90" i="5" s="1"/>
  <c r="C91" i="5"/>
  <c r="D91" i="5" s="1"/>
  <c r="C92" i="5"/>
  <c r="D92" i="5" s="1"/>
  <c r="C93" i="5"/>
  <c r="D93" i="5" s="1"/>
  <c r="C94" i="5"/>
  <c r="D94" i="5" s="1"/>
  <c r="C95" i="5"/>
  <c r="D95" i="5" s="1"/>
  <c r="C96" i="5"/>
  <c r="D96" i="5" s="1"/>
  <c r="C97" i="5"/>
  <c r="D97" i="5" s="1"/>
  <c r="C98" i="5"/>
  <c r="D98" i="5" s="1"/>
  <c r="C99" i="5"/>
  <c r="D99" i="5" s="1"/>
  <c r="C100" i="5"/>
  <c r="D100" i="5" s="1"/>
  <c r="C101" i="5"/>
  <c r="D101" i="5" s="1"/>
  <c r="C102" i="5"/>
  <c r="D102" i="5" s="1"/>
  <c r="C103" i="5"/>
  <c r="D103" i="5" s="1"/>
  <c r="C104" i="5"/>
  <c r="D104" i="5" s="1"/>
  <c r="C105" i="5"/>
  <c r="D105" i="5" s="1"/>
  <c r="C106" i="5"/>
  <c r="D106" i="5" s="1"/>
  <c r="C107" i="5"/>
  <c r="D107" i="5" s="1"/>
  <c r="C108" i="5"/>
  <c r="D108" i="5" s="1"/>
  <c r="C109" i="5"/>
  <c r="D109" i="5" s="1"/>
  <c r="C110" i="5"/>
  <c r="D110" i="5" s="1"/>
  <c r="C111" i="5"/>
  <c r="D111" i="5" s="1"/>
  <c r="C112" i="5"/>
  <c r="D112" i="5" s="1"/>
  <c r="C113" i="5"/>
  <c r="D113" i="5" s="1"/>
  <c r="C114" i="5"/>
  <c r="D114" i="5" s="1"/>
  <c r="C115" i="5"/>
  <c r="D115" i="5" s="1"/>
  <c r="C116" i="5"/>
  <c r="D116" i="5" s="1"/>
  <c r="C117" i="5"/>
  <c r="D117" i="5" s="1"/>
  <c r="C118" i="5"/>
  <c r="D118" i="5" s="1"/>
  <c r="C119" i="5"/>
  <c r="D119" i="5" s="1"/>
  <c r="C120" i="5"/>
  <c r="D120" i="5" s="1"/>
  <c r="C121" i="5"/>
  <c r="D121" i="5" s="1"/>
  <c r="C122" i="5"/>
  <c r="D122" i="5" s="1"/>
  <c r="C123" i="5"/>
  <c r="D123" i="5" s="1"/>
  <c r="C124" i="5"/>
  <c r="D124" i="5" s="1"/>
  <c r="C125" i="5"/>
  <c r="D125" i="5" s="1"/>
  <c r="C126" i="5"/>
  <c r="D126" i="5" s="1"/>
  <c r="C127" i="5"/>
  <c r="D127" i="5" s="1"/>
  <c r="C128" i="5"/>
  <c r="D128" i="5" s="1"/>
  <c r="C129" i="5"/>
  <c r="D129" i="5" s="1"/>
  <c r="C130" i="5"/>
  <c r="D130" i="5" s="1"/>
  <c r="C131" i="5"/>
  <c r="D131" i="5" s="1"/>
  <c r="C132" i="5"/>
  <c r="D132" i="5" s="1"/>
  <c r="C133" i="5"/>
  <c r="D133" i="5" s="1"/>
  <c r="C134" i="5"/>
  <c r="D134" i="5" s="1"/>
  <c r="C135" i="5"/>
  <c r="D135" i="5" s="1"/>
  <c r="C136" i="5"/>
  <c r="D136" i="5" s="1"/>
  <c r="C137" i="5"/>
  <c r="D137" i="5" s="1"/>
  <c r="C138" i="5"/>
  <c r="D138" i="5" s="1"/>
  <c r="C139" i="5"/>
  <c r="D139" i="5" s="1"/>
  <c r="C140" i="5"/>
  <c r="D140" i="5" s="1"/>
  <c r="C141" i="5"/>
  <c r="D141" i="5" s="1"/>
  <c r="C142" i="5"/>
  <c r="D142" i="5" s="1"/>
  <c r="C143" i="5"/>
  <c r="D143" i="5" s="1"/>
  <c r="C144" i="5"/>
  <c r="D144" i="5" s="1"/>
  <c r="C145" i="5"/>
  <c r="D145" i="5" s="1"/>
  <c r="C146" i="5"/>
  <c r="D146" i="5" s="1"/>
  <c r="C147" i="5"/>
  <c r="D147" i="5" s="1"/>
  <c r="C148" i="5"/>
  <c r="D148" i="5" s="1"/>
  <c r="C149" i="5"/>
  <c r="D149" i="5" s="1"/>
  <c r="C150" i="5"/>
  <c r="D150" i="5" s="1"/>
  <c r="C151" i="5"/>
  <c r="D151" i="5" s="1"/>
  <c r="G152" i="5"/>
  <c r="H15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2" i="5"/>
  <c r="E24" i="7"/>
  <c r="I25" i="7"/>
  <c r="B4" i="7"/>
  <c r="C33" i="7"/>
  <c r="E12" i="7"/>
  <c r="F12" i="7" l="1"/>
</calcChain>
</file>

<file path=xl/sharedStrings.xml><?xml version="1.0" encoding="utf-8"?>
<sst xmlns="http://schemas.openxmlformats.org/spreadsheetml/2006/main" count="1143" uniqueCount="327">
  <si>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</si>
  <si>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</si>
  <si>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</si>
  <si>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</si>
  <si>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</si>
  <si>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</si>
  <si>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</si>
  <si>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</si>
  <si>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</si>
  <si>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</si>
  <si>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</si>
  <si>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</si>
  <si>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</si>
  <si>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</si>
  <si>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</si>
  <si>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</si>
  <si>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</si>
  <si>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</si>
  <si>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</si>
  <si>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</si>
  <si>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</si>
  <si>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</si>
  <si>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</si>
  <si>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</si>
  <si>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</si>
  <si>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</si>
  <si>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</si>
  <si>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</si>
  <si>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</si>
  <si>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</si>
  <si>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</si>
  <si>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</si>
  <si>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</si>
  <si>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</si>
  <si>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</si>
  <si>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</si>
  <si>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</si>
  <si>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</si>
  <si>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</si>
  <si>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</si>
  <si>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</si>
  <si>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</si>
  <si>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</si>
  <si>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</si>
  <si>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</si>
  <si>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</si>
  <si>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</si>
  <si>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</si>
  <si>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</si>
  <si>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</si>
  <si>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</si>
  <si>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</si>
  <si>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</si>
  <si>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</si>
  <si>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</si>
  <si>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</si>
  <si>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</si>
  <si>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</si>
  <si>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</si>
  <si>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</si>
  <si>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</si>
  <si>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</si>
  <si>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</si>
  <si>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</si>
  <si>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</si>
  <si>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</si>
  <si>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</si>
  <si>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</si>
  <si>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</si>
  <si>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</si>
  <si>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</si>
  <si>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</si>
  <si>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</si>
  <si>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</si>
  <si>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</si>
  <si>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</si>
  <si>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</si>
  <si>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</si>
  <si>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</si>
  <si>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</si>
  <si>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</si>
  <si>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</si>
  <si>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</si>
  <si>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</si>
  <si>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</si>
  <si>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</si>
  <si>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</si>
  <si>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</si>
  <si>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</si>
  <si>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</si>
  <si>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</si>
  <si>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</si>
  <si>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</si>
  <si>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</si>
  <si>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</si>
  <si>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</si>
  <si>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</si>
  <si>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</si>
  <si>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</si>
  <si>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</si>
  <si>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</si>
  <si>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</si>
  <si>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</si>
  <si>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</si>
  <si>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</si>
  <si>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</si>
  <si>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</si>
  <si>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</si>
  <si>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</si>
  <si>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</si>
  <si>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</si>
  <si>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</si>
  <si>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</si>
  <si>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</si>
  <si>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</si>
  <si>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</si>
  <si>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</si>
  <si>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</si>
  <si>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</si>
  <si>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</si>
  <si>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</si>
  <si>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</si>
  <si>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</si>
  <si>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</si>
  <si>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</si>
  <si>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</si>
  <si>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</si>
  <si>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</si>
  <si>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</si>
  <si>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</si>
  <si>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</si>
  <si>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</si>
  <si>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</si>
  <si>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</si>
  <si>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</si>
  <si>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</si>
  <si>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</si>
  <si>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</si>
  <si>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</si>
  <si>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</si>
  <si>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</si>
  <si>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</si>
  <si>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</si>
  <si>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</si>
  <si>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</si>
  <si>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</si>
  <si>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</si>
  <si>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</si>
  <si>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</si>
  <si>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</si>
  <si>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</si>
  <si>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</si>
  <si>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</si>
  <si>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</si>
  <si>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</si>
  <si>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</si>
  <si>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</si>
  <si>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</si>
  <si>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</si>
  <si>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</si>
  <si>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</si>
  <si>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</si>
  <si>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</si>
  <si>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</si>
  <si>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</si>
  <si>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</si>
  <si>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</si>
  <si>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</si>
  <si>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</si>
  <si>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</si>
  <si>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</si>
  <si>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</si>
  <si>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</si>
  <si>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</si>
  <si>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</si>
  <si>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</si>
  <si>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</si>
  <si>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</si>
  <si>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</si>
  <si>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</si>
  <si>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</si>
  <si>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</si>
  <si>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</si>
  <si>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</si>
  <si>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</si>
  <si>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</si>
  <si>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</si>
  <si>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</si>
  <si>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</si>
  <si>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</si>
  <si>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</si>
  <si>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</si>
  <si>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</si>
  <si>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</si>
  <si>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</si>
  <si>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</si>
  <si>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</si>
  <si>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</si>
  <si>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</si>
  <si>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</si>
  <si>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</si>
  <si>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</si>
  <si>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</si>
  <si>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</si>
  <si>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</si>
  <si>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</si>
  <si>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</si>
  <si>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</si>
  <si>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</si>
  <si>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</si>
  <si>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</si>
  <si>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</si>
  <si>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</si>
  <si>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</si>
  <si>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</si>
  <si>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</si>
  <si>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</si>
  <si>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</si>
  <si>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</si>
  <si>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</si>
  <si>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</si>
  <si>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</si>
  <si>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</si>
  <si>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</si>
  <si>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</si>
  <si>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</si>
  <si>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</si>
  <si>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</si>
  <si>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</si>
  <si>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</si>
  <si>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</si>
  <si>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</si>
  <si>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</si>
  <si>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</si>
  <si>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</si>
  <si>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</si>
  <si>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</si>
  <si>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</si>
  <si>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</si>
  <si>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</si>
  <si>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</si>
  <si>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</si>
  <si>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</si>
  <si>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</si>
  <si>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</si>
  <si>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</si>
  <si>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</si>
  <si>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</si>
  <si>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</si>
  <si>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</si>
  <si>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</si>
  <si>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</si>
  <si>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</si>
  <si>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</si>
  <si>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</si>
  <si>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</si>
  <si>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</si>
  <si>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</si>
  <si>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</si>
  <si>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</si>
  <si>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</si>
  <si>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</si>
  <si>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</si>
  <si>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</si>
  <si>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</si>
  <si>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</si>
  <si>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</si>
  <si>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</si>
  <si>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</si>
  <si>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</si>
  <si>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</si>
  <si>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</si>
  <si>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</si>
  <si>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</si>
  <si>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</si>
  <si>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</si>
  <si>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</si>
  <si>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</si>
  <si>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</si>
  <si>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</si>
  <si>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</si>
  <si>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</si>
  <si>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</si>
  <si>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</si>
  <si>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</si>
  <si>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</si>
  <si>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</si>
  <si>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</si>
  <si>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</si>
  <si>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</si>
  <si>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</si>
  <si>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</si>
  <si>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</si>
  <si>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</si>
  <si>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</si>
  <si>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</si>
  <si>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</si>
  <si>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</si>
  <si>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</si>
  <si>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</si>
  <si>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</si>
  <si>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</si>
  <si>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</si>
  <si>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Names</t>
  </si>
  <si>
    <t>Years of Service</t>
  </si>
  <si>
    <t>Row Labels</t>
  </si>
  <si>
    <t>Grand Total</t>
  </si>
  <si>
    <t>Count of Emp ID</t>
  </si>
  <si>
    <t>Column Labels</t>
  </si>
  <si>
    <t>Total headcount</t>
  </si>
  <si>
    <t>Headcount and Salary</t>
  </si>
  <si>
    <t>Attrition Rate</t>
  </si>
  <si>
    <t>Average of Perf_Score</t>
  </si>
  <si>
    <t>Performance by Status</t>
  </si>
  <si>
    <t>Bonus Payout</t>
  </si>
  <si>
    <t>Bonus Amount</t>
  </si>
  <si>
    <t>Sum of Bonus Amount</t>
  </si>
  <si>
    <t>Total Bonus Payout</t>
  </si>
  <si>
    <t>Average of Years of Service</t>
  </si>
  <si>
    <t>Employee Count</t>
  </si>
  <si>
    <t>Employee Distribution By Performance Band</t>
  </si>
  <si>
    <t>Employee Distribution by Status</t>
  </si>
  <si>
    <t>Employee Distribution by Department</t>
  </si>
  <si>
    <t xml:space="preserve">Average Years of Service </t>
  </si>
  <si>
    <t>Performance Band by department</t>
  </si>
  <si>
    <t>Overall Attrition Rate</t>
  </si>
  <si>
    <t xml:space="preserve">Average Salary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</si>
</sst>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hh:mm:ss"/>
    <numFmt numFmtId="165" formatCode="[$-409]d\-mmm\-yyyy;@"/>
    <numFmt numFmtId="166" formatCode="[$₦-468]\ #,##0"/>
    <numFmt numFmtId="167" formatCode="0.0"/>
    <numFmt numFmtId="168" formatCode="0.0%"/>
    <numFmt numFmtId="169" formatCode="[$₦-46A]#,##0"/>
  </numFmts>
  <fonts count="4" x14ac:knownFonts="1">
    <font>
      <sz val="11"/>
      <color theme="1"/>
      <name val="Calibri"/>
      <family val="2"/>
      <scheme val="minor"/>
    </font>
    <font>
      <b/>
      <sz val="11"/>
      <name val="Calibri"/>
    </font>
    <font>
      <b/>
      <sz val="11"/>
      <name val="Calibri"/>
      <family val="2"/>
    </font>
    <font>
      <sz val="12"/>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center" vertical="top"/>
    </xf>
    <xf numFmtId="1" fontId="0" fillId="0" borderId="0" xfId="0" applyNumberFormat="1"/>
    <xf numFmtId="165" fontId="0" fillId="0" borderId="0" xfId="0" applyNumberFormat="1"/>
    <xf numFmtId="166" fontId="0" fillId="0" borderId="0" xfId="0" applyNumberFormat="1"/>
    <xf numFmtId="9"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 fontId="2" fillId="0" borderId="2" xfId="0" applyNumberFormat="1" applyFont="1" applyBorder="1" applyAlignment="1">
      <alignment horizontal="center" vertical="top"/>
    </xf>
    <xf numFmtId="166" fontId="1" fillId="0" borderId="2" xfId="0" applyNumberFormat="1" applyFont="1" applyBorder="1" applyAlignment="1">
      <alignment horizontal="center" vertical="top"/>
    </xf>
    <xf numFmtId="9" fontId="1" fillId="0" borderId="2" xfId="0" applyNumberFormat="1"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7" fontId="0" fillId="0" borderId="0" xfId="0" applyNumberFormat="1"/>
    <xf numFmtId="0" fontId="0" fillId="0" borderId="3" xfId="0" applyBorder="1"/>
    <xf numFmtId="0" fontId="0" fillId="3" borderId="0" xfId="0" applyFill="1"/>
    <xf numFmtId="3" fontId="0" fillId="0" borderId="0" xfId="0" applyNumberFormat="1"/>
    <xf numFmtId="168" fontId="0" fillId="0" borderId="0" xfId="0" applyNumberFormat="1"/>
    <xf numFmtId="0" fontId="0" fillId="2" borderId="0" xfId="0" applyFill="1" applyAlignment="1">
      <alignment horizontal="left"/>
    </xf>
    <xf numFmtId="169" fontId="0" fillId="0" borderId="0" xfId="0" applyNumberFormat="1"/>
    <xf numFmtId="0" fontId="0" fillId="2" borderId="0" xfId="0" applyFill="1" applyAlignment="1">
      <alignment horizontal="center"/>
    </xf>
    <xf numFmtId="0" fontId="3" fillId="0" borderId="0" xfId="0" applyFont="1"/>
  </cellXfs>
  <cellStyles count="1">
    <cellStyle name="Normal" xfId="0" builtinId="0"/>
  </cellStyles>
  <dxfs count="20">
    <dxf>
      <numFmt numFmtId="13" formatCode="0%"/>
    </dxf>
    <dxf>
      <numFmt numFmtId="166" formatCode="[$₦-468]\ #,##0"/>
    </dxf>
    <dxf>
      <numFmt numFmtId="1" formatCode="0"/>
    </dxf>
    <dxf>
      <numFmt numFmtId="165" formatCode="[$-409]d\-mmm\-yyyy;@"/>
    </dxf>
    <dxf>
      <border outline="0">
        <top style="thin">
          <color auto="1"/>
        </top>
      </border>
    </dxf>
    <dxf>
      <border outline="0">
        <bottom style="thin">
          <color auto="1"/>
        </bottom>
      </border>
    </dxf>
    <dxf>
      <numFmt numFmtId="167" formatCode="0.0"/>
    </dxf>
    <dxf>
      <numFmt numFmtId="3" formatCode="#,##0"/>
    </dxf>
    <dxf>
      <numFmt numFmtId="166" formatCode="[$₦-468]\ #,##0"/>
    </dxf>
    <dxf>
      <numFmt numFmtId="1" formatCode="0"/>
    </dxf>
    <dxf>
      <numFmt numFmtId="166" formatCode="[$₦-468]\ #,##0"/>
    </dxf>
    <dxf>
      <numFmt numFmtId="166" formatCode="[$₦-468]\ #,##0"/>
    </dxf>
    <dxf>
      <numFmt numFmtId="3" formatCode="#,##0"/>
    </dxf>
    <dxf>
      <numFmt numFmtId="166" formatCode="[$₦-468]\ #,##0"/>
    </dxf>
    <dxf>
      <numFmt numFmtId="167" formatCode="0.0"/>
    </dxf>
    <dxf>
      <numFmt numFmtId="2" formatCode="0.00"/>
    </dxf>
    <dxf>
      <numFmt numFmtId="2" formatCode="0.00"/>
    </dxf>
    <dxf>
      <numFmt numFmtId="2" formatCode="0.00"/>
    </dxf>
    <dxf>
      <numFmt numFmtId="2" formatCode="0.00"/>
    </dxf>
    <dxf>
      <numFmt numFmtId="13" formatCode="0%"/>
    </dxf>
  </dxfs>
  <tableStyles count="0" defaultTableStyle="TableStyleMedium9" defaultPivotStyle="PivotStyleLight16"/>
  <colors>
    <mruColors>
      <color rgb="FFB9CDE5"/>
      <color rgb="FFEEEC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Performance Band by department</a:t>
            </a:r>
          </a:p>
        </c:rich>
      </c:tx>
      <c:layout>
        <c:manualLayout>
          <c:xMode val="edge"/>
          <c:yMode val="edge"/>
          <c:x val="0.21561386321020407"/>
          <c:y val="3.26896827503828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9CD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60000"/>
              <a:lumOff val="40000"/>
            </a:schemeClr>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a:noFill/>
          </a:ln>
          <a:effectLst/>
        </c:spPr>
      </c:pivotFmt>
      <c:pivotFmt>
        <c:idx val="26"/>
        <c:spPr>
          <a:solidFill>
            <a:srgbClr val="B9CDE5"/>
          </a:solidFill>
          <a:ln>
            <a:noFill/>
          </a:ln>
          <a:effectLst/>
        </c:spPr>
        <c:dLbl>
          <c:idx val="0"/>
          <c:layout>
            <c:manualLayout>
              <c:x val="4.1930622318668766E-2"/>
              <c:y val="-4.6763195229712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60000"/>
              <a:lumOff val="40000"/>
            </a:schemeClr>
          </a:solidFill>
          <a:ln>
            <a:noFill/>
          </a:ln>
          <a:effectLst/>
        </c:spPr>
      </c:pivotFmt>
      <c:pivotFmt>
        <c:idx val="28"/>
        <c:spPr>
          <a:solidFill>
            <a:schemeClr val="tx2">
              <a:lumMod val="60000"/>
              <a:lumOff val="40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60000"/>
              <a:lumOff val="40000"/>
            </a:schemeClr>
          </a:solidFill>
          <a:ln>
            <a:noFill/>
          </a:ln>
          <a:effectLst/>
        </c:spPr>
      </c:pivotFmt>
      <c:pivotFmt>
        <c:idx val="31"/>
        <c:spPr>
          <a:solidFill>
            <a:schemeClr val="tx2">
              <a:lumMod val="60000"/>
              <a:lumOff val="4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45575108749985"/>
          <c:y val="0.18747364967591632"/>
          <c:w val="0.41145804329485325"/>
          <c:h val="0.77511579414031384"/>
        </c:manualLayout>
      </c:layout>
      <c:barChart>
        <c:barDir val="bar"/>
        <c:grouping val="clustered"/>
        <c:varyColors val="0"/>
        <c:ser>
          <c:idx val="0"/>
          <c:order val="0"/>
          <c:tx>
            <c:strRef>
              <c:f>Analysis!$L$15:$L$16</c:f>
              <c:strCache>
                <c:ptCount val="1"/>
                <c:pt idx="0">
                  <c:v>Achieving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Analysis!$L$17:$L$22</c:f>
              <c:numCache>
                <c:formatCode>#,##0</c:formatCode>
                <c:ptCount val="6"/>
                <c:pt idx="0">
                  <c:v>9</c:v>
                </c:pt>
                <c:pt idx="1">
                  <c:v>10</c:v>
                </c:pt>
                <c:pt idx="2">
                  <c:v>10</c:v>
                </c:pt>
                <c:pt idx="3">
                  <c:v>4</c:v>
                </c:pt>
                <c:pt idx="4">
                  <c:v>4</c:v>
                </c:pt>
                <c:pt idx="5">
                  <c:v>4</c:v>
                </c:pt>
              </c:numCache>
            </c:numRef>
          </c:val>
          <c:extLst>
            <c:ext xmlns:c16="http://schemas.microsoft.com/office/drawing/2014/chart" uri="{C3380CC4-5D6E-409C-BE32-E72D297353CC}">
              <c16:uniqueId val="{00000000-5987-4CD2-8C92-4DEB977CB58C}"/>
            </c:ext>
          </c:extLst>
        </c:ser>
        <c:ser>
          <c:idx val="1"/>
          <c:order val="1"/>
          <c:tx>
            <c:strRef>
              <c:f>Analysis!$M$15:$M$16</c:f>
              <c:strCache>
                <c:ptCount val="1"/>
                <c:pt idx="0">
                  <c:v>Developing</c:v>
                </c:pt>
              </c:strCache>
            </c:strRef>
          </c:tx>
          <c:spPr>
            <a:solidFill>
              <a:srgbClr val="B9CDE5"/>
            </a:solidFill>
            <a:ln>
              <a:noFill/>
            </a:ln>
            <a:effectLst/>
          </c:spPr>
          <c:invertIfNegative val="0"/>
          <c:dPt>
            <c:idx val="1"/>
            <c:invertIfNegative val="0"/>
            <c:bubble3D val="0"/>
            <c:spPr>
              <a:solidFill>
                <a:srgbClr val="B9CDE5"/>
              </a:solidFill>
              <a:ln>
                <a:noFill/>
              </a:ln>
              <a:effectLst/>
            </c:spPr>
            <c:extLst>
              <c:ext xmlns:c16="http://schemas.microsoft.com/office/drawing/2014/chart" uri="{C3380CC4-5D6E-409C-BE32-E72D297353CC}">
                <c16:uniqueId val="{00000000-CCD4-4654-AAF2-334BC09C3A5B}"/>
              </c:ext>
            </c:extLst>
          </c:dPt>
          <c:dLbls>
            <c:dLbl>
              <c:idx val="1"/>
              <c:layout>
                <c:manualLayout>
                  <c:x val="4.1930622318668766E-2"/>
                  <c:y val="-4.67631952297122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D4-4654-AAF2-334BC09C3A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Analysis!$M$17:$M$22</c:f>
              <c:numCache>
                <c:formatCode>#,##0</c:formatCode>
                <c:ptCount val="6"/>
                <c:pt idx="0">
                  <c:v>12</c:v>
                </c:pt>
                <c:pt idx="1">
                  <c:v>10</c:v>
                </c:pt>
                <c:pt idx="2">
                  <c:v>8</c:v>
                </c:pt>
                <c:pt idx="3">
                  <c:v>7</c:v>
                </c:pt>
                <c:pt idx="4">
                  <c:v>8</c:v>
                </c:pt>
                <c:pt idx="5">
                  <c:v>4</c:v>
                </c:pt>
              </c:numCache>
            </c:numRef>
          </c:val>
          <c:extLst>
            <c:ext xmlns:c16="http://schemas.microsoft.com/office/drawing/2014/chart" uri="{C3380CC4-5D6E-409C-BE32-E72D297353CC}">
              <c16:uniqueId val="{00000010-5987-4CD2-8C92-4DEB977CB58C}"/>
            </c:ext>
          </c:extLst>
        </c:ser>
        <c:ser>
          <c:idx val="2"/>
          <c:order val="2"/>
          <c:tx>
            <c:strRef>
              <c:f>Analysis!$N$15:$N$16</c:f>
              <c:strCache>
                <c:ptCount val="1"/>
                <c:pt idx="0">
                  <c:v>Exceeding</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Analysis!$N$17:$N$22</c:f>
              <c:numCache>
                <c:formatCode>#,##0</c:formatCode>
                <c:ptCount val="6"/>
                <c:pt idx="0">
                  <c:v>8</c:v>
                </c:pt>
                <c:pt idx="1">
                  <c:v>2</c:v>
                </c:pt>
                <c:pt idx="2">
                  <c:v>6</c:v>
                </c:pt>
                <c:pt idx="3">
                  <c:v>2</c:v>
                </c:pt>
                <c:pt idx="4">
                  <c:v>1</c:v>
                </c:pt>
                <c:pt idx="5">
                  <c:v>3</c:v>
                </c:pt>
              </c:numCache>
            </c:numRef>
          </c:val>
          <c:extLst>
            <c:ext xmlns:c16="http://schemas.microsoft.com/office/drawing/2014/chart" uri="{C3380CC4-5D6E-409C-BE32-E72D297353CC}">
              <c16:uniqueId val="{00000012-5987-4CD2-8C92-4DEB977CB58C}"/>
            </c:ext>
          </c:extLst>
        </c:ser>
        <c:ser>
          <c:idx val="3"/>
          <c:order val="3"/>
          <c:tx>
            <c:strRef>
              <c:f>Analysis!$O$15:$O$16</c:f>
              <c:strCache>
                <c:ptCount val="1"/>
                <c:pt idx="0">
                  <c:v>Needs Improvement</c:v>
                </c:pt>
              </c:strCache>
            </c:strRef>
          </c:tx>
          <c:spPr>
            <a:solidFill>
              <a:schemeClr val="tx2">
                <a:lumMod val="60000"/>
                <a:lumOff val="40000"/>
              </a:schemeClr>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Analysis!$O$17:$O$22</c:f>
              <c:numCache>
                <c:formatCode>#,##0</c:formatCode>
                <c:ptCount val="6"/>
                <c:pt idx="0">
                  <c:v>5</c:v>
                </c:pt>
                <c:pt idx="1">
                  <c:v>7</c:v>
                </c:pt>
                <c:pt idx="2">
                  <c:v>5</c:v>
                </c:pt>
                <c:pt idx="3">
                  <c:v>4</c:v>
                </c:pt>
                <c:pt idx="4">
                  <c:v>3</c:v>
                </c:pt>
                <c:pt idx="5">
                  <c:v>4</c:v>
                </c:pt>
              </c:numCache>
            </c:numRef>
          </c:val>
          <c:extLst>
            <c:ext xmlns:c16="http://schemas.microsoft.com/office/drawing/2014/chart" uri="{C3380CC4-5D6E-409C-BE32-E72D297353CC}">
              <c16:uniqueId val="{00000014-5987-4CD2-8C92-4DEB977CB58C}"/>
            </c:ext>
          </c:extLst>
        </c:ser>
        <c:ser>
          <c:idx val="4"/>
          <c:order val="4"/>
          <c:tx>
            <c:strRef>
              <c:f>Analysis!$P$15:$P$16</c:f>
              <c:strCache>
                <c:ptCount val="1"/>
                <c:pt idx="0">
                  <c:v>Outstanding</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Analysis!$P$17:$P$22</c:f>
              <c:numCache>
                <c:formatCode>#,##0</c:formatCode>
                <c:ptCount val="6"/>
                <c:pt idx="0">
                  <c:v>2</c:v>
                </c:pt>
                <c:pt idx="1">
                  <c:v>2</c:v>
                </c:pt>
                <c:pt idx="2">
                  <c:v>1</c:v>
                </c:pt>
                <c:pt idx="3">
                  <c:v>1</c:v>
                </c:pt>
                <c:pt idx="4">
                  <c:v>2</c:v>
                </c:pt>
                <c:pt idx="5">
                  <c:v>2</c:v>
                </c:pt>
              </c:numCache>
            </c:numRef>
          </c:val>
          <c:extLst>
            <c:ext xmlns:c16="http://schemas.microsoft.com/office/drawing/2014/chart" uri="{C3380CC4-5D6E-409C-BE32-E72D297353CC}">
              <c16:uniqueId val="{0000001A-5987-4CD2-8C92-4DEB977CB58C}"/>
            </c:ext>
          </c:extLst>
        </c:ser>
        <c:dLbls>
          <c:dLblPos val="outEnd"/>
          <c:showLegendKey val="0"/>
          <c:showVal val="1"/>
          <c:showCatName val="0"/>
          <c:showSerName val="0"/>
          <c:showPercent val="0"/>
          <c:showBubbleSize val="0"/>
        </c:dLbls>
        <c:gapWidth val="182"/>
        <c:axId val="1401483135"/>
        <c:axId val="1401493215"/>
      </c:barChart>
      <c:catAx>
        <c:axId val="1401483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93215"/>
        <c:crosses val="autoZero"/>
        <c:auto val="1"/>
        <c:lblAlgn val="ctr"/>
        <c:lblOffset val="100"/>
        <c:noMultiLvlLbl val="0"/>
      </c:catAx>
      <c:valAx>
        <c:axId val="1401493215"/>
        <c:scaling>
          <c:orientation val="minMax"/>
        </c:scaling>
        <c:delete val="1"/>
        <c:axPos val="b"/>
        <c:numFmt formatCode="#,##0" sourceLinked="1"/>
        <c:majorTickMark val="out"/>
        <c:minorTickMark val="none"/>
        <c:tickLblPos val="nextTo"/>
        <c:crossAx val="140148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Employee Distribution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lumMod val="40000"/>
              <a:lumOff val="60000"/>
            </a:schemeClr>
          </a:solidFill>
          <a:ln w="19050">
            <a:solidFill>
              <a:schemeClr val="lt1"/>
            </a:solidFill>
          </a:ln>
          <a:effectLst/>
        </c:spPr>
        <c:marker>
          <c:symbol val="none"/>
        </c:marker>
        <c:dLbl>
          <c:idx val="0"/>
          <c:spPr>
            <a:solidFill>
              <a:srgbClr val="B9CDE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w="19050">
            <a:solidFill>
              <a:schemeClr val="lt1"/>
            </a:solidFill>
          </a:ln>
          <a:effectLst/>
        </c:spPr>
      </c:pivotFmt>
      <c:pivotFmt>
        <c:idx val="15"/>
        <c:spPr>
          <a:solidFill>
            <a:schemeClr val="tx2">
              <a:lumMod val="60000"/>
              <a:lumOff val="40000"/>
            </a:schemeClr>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Analysis!$B$24</c:f>
              <c:strCache>
                <c:ptCount val="1"/>
                <c:pt idx="0">
                  <c:v>Total</c:v>
                </c:pt>
              </c:strCache>
            </c:strRef>
          </c:tx>
          <c:spPr>
            <a:solidFill>
              <a:schemeClr val="accent1">
                <a:lumMod val="40000"/>
                <a:lumOff val="60000"/>
              </a:schemeClr>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8082-42B4-80FC-6A1C4C5B452B}"/>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8082-42B4-80FC-6A1C4C5B452B}"/>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8082-42B4-80FC-6A1C4C5B452B}"/>
              </c:ext>
            </c:extLst>
          </c:dPt>
          <c:dLbls>
            <c:spPr>
              <a:solidFill>
                <a:srgbClr val="B9CDE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Analysis!$A$25:$A$27</c:f>
              <c:strCache>
                <c:ptCount val="3"/>
                <c:pt idx="0">
                  <c:v>Active</c:v>
                </c:pt>
                <c:pt idx="1">
                  <c:v>Left</c:v>
                </c:pt>
                <c:pt idx="2">
                  <c:v>Resigned</c:v>
                </c:pt>
              </c:strCache>
            </c:strRef>
          </c:cat>
          <c:val>
            <c:numRef>
              <c:f>Analysis!$B$25:$B$27</c:f>
              <c:numCache>
                <c:formatCode>0%</c:formatCode>
                <c:ptCount val="3"/>
                <c:pt idx="0">
                  <c:v>0.78</c:v>
                </c:pt>
                <c:pt idx="1">
                  <c:v>0.15333333333333332</c:v>
                </c:pt>
                <c:pt idx="2">
                  <c:v>6.6666666666666666E-2</c:v>
                </c:pt>
              </c:numCache>
            </c:numRef>
          </c:val>
          <c:extLst>
            <c:ext xmlns:c16="http://schemas.microsoft.com/office/drawing/2014/chart" uri="{C3380CC4-5D6E-409C-BE32-E72D297353CC}">
              <c16:uniqueId val="{00000006-8082-42B4-80FC-6A1C4C5B452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391030112399472"/>
          <c:y val="0.41287729865909778"/>
          <c:w val="0.13960734425135279"/>
          <c:h val="0.288885963323899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Bonus Payout By Performance Band </a:t>
            </a:r>
          </a:p>
        </c:rich>
      </c:tx>
      <c:layout>
        <c:manualLayout>
          <c:xMode val="edge"/>
          <c:yMode val="edge"/>
          <c:x val="0.104685257792357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92974019191572E-2"/>
          <c:y val="0.13864025278073824"/>
          <c:w val="0.93361405196161684"/>
          <c:h val="0.6984452633633047"/>
        </c:manualLayout>
      </c:layout>
      <c:barChart>
        <c:barDir val="col"/>
        <c:grouping val="clustered"/>
        <c:varyColors val="0"/>
        <c:ser>
          <c:idx val="0"/>
          <c:order val="0"/>
          <c:tx>
            <c:strRef>
              <c:f>Analysis!$E$16</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Analysis!$D$17:$D$21</c:f>
              <c:strCache>
                <c:ptCount val="5"/>
                <c:pt idx="0">
                  <c:v>Achieving</c:v>
                </c:pt>
                <c:pt idx="1">
                  <c:v>Exceeding</c:v>
                </c:pt>
                <c:pt idx="2">
                  <c:v>Outstanding</c:v>
                </c:pt>
                <c:pt idx="3">
                  <c:v>Developing</c:v>
                </c:pt>
                <c:pt idx="4">
                  <c:v>Needs Improvement</c:v>
                </c:pt>
              </c:strCache>
            </c:strRef>
          </c:cat>
          <c:val>
            <c:numRef>
              <c:f>Analysis!$E$17:$E$21</c:f>
              <c:numCache>
                <c:formatCode>[$₦-468]\ #,##0</c:formatCode>
                <c:ptCount val="5"/>
                <c:pt idx="0">
                  <c:v>165216.95000000004</c:v>
                </c:pt>
                <c:pt idx="1">
                  <c:v>144689.44</c:v>
                </c:pt>
                <c:pt idx="2">
                  <c:v>92411.520000000004</c:v>
                </c:pt>
                <c:pt idx="3">
                  <c:v>84593.280000000028</c:v>
                </c:pt>
                <c:pt idx="4">
                  <c:v>0</c:v>
                </c:pt>
              </c:numCache>
            </c:numRef>
          </c:val>
          <c:extLst>
            <c:ext xmlns:c16="http://schemas.microsoft.com/office/drawing/2014/chart" uri="{C3380CC4-5D6E-409C-BE32-E72D297353CC}">
              <c16:uniqueId val="{00000000-8E29-4A11-8209-92FE11E538F1}"/>
            </c:ext>
          </c:extLst>
        </c:ser>
        <c:dLbls>
          <c:dLblPos val="outEnd"/>
          <c:showLegendKey val="0"/>
          <c:showVal val="1"/>
          <c:showCatName val="0"/>
          <c:showSerName val="0"/>
          <c:showPercent val="0"/>
          <c:showBubbleSize val="0"/>
        </c:dLbls>
        <c:gapWidth val="219"/>
        <c:overlap val="-27"/>
        <c:axId val="1601554111"/>
        <c:axId val="1601558911"/>
      </c:barChart>
      <c:catAx>
        <c:axId val="16015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58911"/>
        <c:crosses val="autoZero"/>
        <c:auto val="1"/>
        <c:lblAlgn val="ctr"/>
        <c:lblOffset val="100"/>
        <c:noMultiLvlLbl val="0"/>
      </c:catAx>
      <c:valAx>
        <c:axId val="1601558911"/>
        <c:scaling>
          <c:orientation val="minMax"/>
        </c:scaling>
        <c:delete val="1"/>
        <c:axPos val="l"/>
        <c:numFmt formatCode="[$₦-468]\ #,##0" sourceLinked="1"/>
        <c:majorTickMark val="none"/>
        <c:minorTickMark val="none"/>
        <c:tickLblPos val="nextTo"/>
        <c:crossAx val="1601554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mn-lt"/>
                <a:cs typeface="Times New Roman" panose="02020603050405020304" pitchFamily="18" charset="0"/>
              </a:rPr>
              <a:t>Employee Distribution By Performance Band</a:t>
            </a:r>
          </a:p>
        </c:rich>
      </c:tx>
      <c:layout>
        <c:manualLayout>
          <c:xMode val="edge"/>
          <c:yMode val="edge"/>
          <c:x val="9.5486634473370385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76887271762245E-2"/>
          <c:y val="0.18749118739543252"/>
          <c:w val="0.9390231127282378"/>
          <c:h val="0.68251088203210775"/>
        </c:manualLayout>
      </c:layout>
      <c:barChart>
        <c:barDir val="col"/>
        <c:grouping val="clustered"/>
        <c:varyColors val="0"/>
        <c:ser>
          <c:idx val="0"/>
          <c:order val="0"/>
          <c:tx>
            <c:strRef>
              <c:f>Analysis!$E$27</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Analysis!$D$28:$D$32</c:f>
              <c:strCache>
                <c:ptCount val="5"/>
                <c:pt idx="0">
                  <c:v>Achieving</c:v>
                </c:pt>
                <c:pt idx="1">
                  <c:v>Developing</c:v>
                </c:pt>
                <c:pt idx="2">
                  <c:v>Exceeding</c:v>
                </c:pt>
                <c:pt idx="3">
                  <c:v>Needs Improvement</c:v>
                </c:pt>
                <c:pt idx="4">
                  <c:v>Outstanding</c:v>
                </c:pt>
              </c:strCache>
            </c:strRef>
          </c:cat>
          <c:val>
            <c:numRef>
              <c:f>Analysis!$E$28:$E$32</c:f>
              <c:numCache>
                <c:formatCode>General</c:formatCode>
                <c:ptCount val="5"/>
                <c:pt idx="0">
                  <c:v>41</c:v>
                </c:pt>
                <c:pt idx="1">
                  <c:v>49</c:v>
                </c:pt>
                <c:pt idx="2">
                  <c:v>22</c:v>
                </c:pt>
                <c:pt idx="3">
                  <c:v>28</c:v>
                </c:pt>
                <c:pt idx="4">
                  <c:v>10</c:v>
                </c:pt>
              </c:numCache>
            </c:numRef>
          </c:val>
          <c:extLst>
            <c:ext xmlns:c16="http://schemas.microsoft.com/office/drawing/2014/chart" uri="{C3380CC4-5D6E-409C-BE32-E72D297353CC}">
              <c16:uniqueId val="{00000000-67BF-4656-B4CA-3947B2D6144D}"/>
            </c:ext>
          </c:extLst>
        </c:ser>
        <c:dLbls>
          <c:dLblPos val="outEnd"/>
          <c:showLegendKey val="0"/>
          <c:showVal val="1"/>
          <c:showCatName val="0"/>
          <c:showSerName val="0"/>
          <c:showPercent val="0"/>
          <c:showBubbleSize val="0"/>
        </c:dLbls>
        <c:gapWidth val="219"/>
        <c:overlap val="-27"/>
        <c:axId val="206052271"/>
        <c:axId val="206051311"/>
      </c:barChart>
      <c:catAx>
        <c:axId val="2060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1311"/>
        <c:crosses val="autoZero"/>
        <c:auto val="1"/>
        <c:lblAlgn val="ctr"/>
        <c:lblOffset val="100"/>
        <c:noMultiLvlLbl val="0"/>
      </c:catAx>
      <c:valAx>
        <c:axId val="206051311"/>
        <c:scaling>
          <c:orientation val="minMax"/>
        </c:scaling>
        <c:delete val="1"/>
        <c:axPos val="l"/>
        <c:numFmt formatCode="General" sourceLinked="1"/>
        <c:majorTickMark val="none"/>
        <c:minorTickMark val="none"/>
        <c:tickLblPos val="nextTo"/>
        <c:crossAx val="2060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Analysis!$E$3:$E$4</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Analysis!$D$5:$D$10</c:f>
              <c:strCache>
                <c:ptCount val="6"/>
                <c:pt idx="0">
                  <c:v>Finance</c:v>
                </c:pt>
                <c:pt idx="1">
                  <c:v>Human Resources</c:v>
                </c:pt>
                <c:pt idx="2">
                  <c:v>Information Technology</c:v>
                </c:pt>
                <c:pt idx="3">
                  <c:v>Marketing</c:v>
                </c:pt>
                <c:pt idx="4">
                  <c:v>Operations</c:v>
                </c:pt>
                <c:pt idx="5">
                  <c:v>Sales</c:v>
                </c:pt>
              </c:strCache>
            </c:strRef>
          </c:cat>
          <c:val>
            <c:numRef>
              <c:f>Analysis!$E$5:$E$10</c:f>
              <c:numCache>
                <c:formatCode>General</c:formatCode>
                <c:ptCount val="6"/>
                <c:pt idx="0">
                  <c:v>14</c:v>
                </c:pt>
                <c:pt idx="1">
                  <c:v>15</c:v>
                </c:pt>
                <c:pt idx="2">
                  <c:v>28</c:v>
                </c:pt>
                <c:pt idx="3">
                  <c:v>15</c:v>
                </c:pt>
                <c:pt idx="4">
                  <c:v>21</c:v>
                </c:pt>
                <c:pt idx="5">
                  <c:v>24</c:v>
                </c:pt>
              </c:numCache>
            </c:numRef>
          </c:val>
          <c:extLst>
            <c:ext xmlns:c16="http://schemas.microsoft.com/office/drawing/2014/chart" uri="{C3380CC4-5D6E-409C-BE32-E72D297353CC}">
              <c16:uniqueId val="{00000000-19CD-45F5-A486-EEB13A244E48}"/>
            </c:ext>
          </c:extLst>
        </c:ser>
        <c:ser>
          <c:idx val="1"/>
          <c:order val="1"/>
          <c:tx>
            <c:strRef>
              <c:f>Analysis!$F$3:$F$4</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Analysis!$D$5:$D$10</c:f>
              <c:strCache>
                <c:ptCount val="6"/>
                <c:pt idx="0">
                  <c:v>Finance</c:v>
                </c:pt>
                <c:pt idx="1">
                  <c:v>Human Resources</c:v>
                </c:pt>
                <c:pt idx="2">
                  <c:v>Information Technology</c:v>
                </c:pt>
                <c:pt idx="3">
                  <c:v>Marketing</c:v>
                </c:pt>
                <c:pt idx="4">
                  <c:v>Operations</c:v>
                </c:pt>
                <c:pt idx="5">
                  <c:v>Sales</c:v>
                </c:pt>
              </c:strCache>
            </c:strRef>
          </c:cat>
          <c:val>
            <c:numRef>
              <c:f>Analysis!$F$5:$F$10</c:f>
              <c:numCache>
                <c:formatCode>General</c:formatCode>
                <c:ptCount val="6"/>
                <c:pt idx="0">
                  <c:v>3</c:v>
                </c:pt>
                <c:pt idx="1">
                  <c:v>2</c:v>
                </c:pt>
                <c:pt idx="2">
                  <c:v>6</c:v>
                </c:pt>
                <c:pt idx="3">
                  <c:v>3</c:v>
                </c:pt>
                <c:pt idx="4">
                  <c:v>5</c:v>
                </c:pt>
                <c:pt idx="5">
                  <c:v>4</c:v>
                </c:pt>
              </c:numCache>
            </c:numRef>
          </c:val>
          <c:extLst>
            <c:ext xmlns:c16="http://schemas.microsoft.com/office/drawing/2014/chart" uri="{C3380CC4-5D6E-409C-BE32-E72D297353CC}">
              <c16:uniqueId val="{0000000C-21FD-41D0-B254-BEF05EB59DC8}"/>
            </c:ext>
          </c:extLst>
        </c:ser>
        <c:ser>
          <c:idx val="2"/>
          <c:order val="2"/>
          <c:tx>
            <c:strRef>
              <c:f>Analysis!$G$3:$G$4</c:f>
              <c:strCache>
                <c:ptCount val="1"/>
                <c:pt idx="0">
                  <c:v>Resigned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Analysis!$D$5:$D$10</c:f>
              <c:strCache>
                <c:ptCount val="6"/>
                <c:pt idx="0">
                  <c:v>Finance</c:v>
                </c:pt>
                <c:pt idx="1">
                  <c:v>Human Resources</c:v>
                </c:pt>
                <c:pt idx="2">
                  <c:v>Information Technology</c:v>
                </c:pt>
                <c:pt idx="3">
                  <c:v>Marketing</c:v>
                </c:pt>
                <c:pt idx="4">
                  <c:v>Operations</c:v>
                </c:pt>
                <c:pt idx="5">
                  <c:v>Sales</c:v>
                </c:pt>
              </c:strCache>
            </c:strRef>
          </c:cat>
          <c:val>
            <c:numRef>
              <c:f>Analysis!$G$5:$G$10</c:f>
              <c:numCache>
                <c:formatCode>General</c:formatCode>
                <c:ptCount val="6"/>
                <c:pt idx="1">
                  <c:v>1</c:v>
                </c:pt>
                <c:pt idx="2">
                  <c:v>2</c:v>
                </c:pt>
                <c:pt idx="4">
                  <c:v>5</c:v>
                </c:pt>
                <c:pt idx="5">
                  <c:v>2</c:v>
                </c:pt>
              </c:numCache>
            </c:numRef>
          </c:val>
          <c:extLst>
            <c:ext xmlns:c16="http://schemas.microsoft.com/office/drawing/2014/chart" uri="{C3380CC4-5D6E-409C-BE32-E72D297353CC}">
              <c16:uniqueId val="{0000000D-21FD-41D0-B254-BEF05EB59DC8}"/>
            </c:ext>
          </c:extLst>
        </c:ser>
        <c:dLbls>
          <c:dLblPos val="outEnd"/>
          <c:showLegendKey val="0"/>
          <c:showVal val="1"/>
          <c:showCatName val="0"/>
          <c:showSerName val="0"/>
          <c:showPercent val="0"/>
          <c:showBubbleSize val="0"/>
        </c:dLbls>
        <c:gapWidth val="182"/>
        <c:axId val="2133672751"/>
        <c:axId val="2133673231"/>
      </c:barChart>
      <c:catAx>
        <c:axId val="2133672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73231"/>
        <c:crosses val="autoZero"/>
        <c:auto val="1"/>
        <c:lblAlgn val="ctr"/>
        <c:lblOffset val="100"/>
        <c:noMultiLvlLbl val="0"/>
      </c:catAx>
      <c:valAx>
        <c:axId val="2133673231"/>
        <c:scaling>
          <c:orientation val="minMax"/>
        </c:scaling>
        <c:delete val="1"/>
        <c:axPos val="b"/>
        <c:numFmt formatCode="General" sourceLinked="1"/>
        <c:majorTickMark val="out"/>
        <c:minorTickMark val="none"/>
        <c:tickLblPos val="nextTo"/>
        <c:crossAx val="21336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Distribution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60-4C0F-AE65-03316E715C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60-4C0F-AE65-03316E715C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60-4C0F-AE65-03316E715C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Analysis!$A$25:$A$27</c:f>
              <c:strCache>
                <c:ptCount val="3"/>
                <c:pt idx="0">
                  <c:v>Active</c:v>
                </c:pt>
                <c:pt idx="1">
                  <c:v>Left</c:v>
                </c:pt>
                <c:pt idx="2">
                  <c:v>Resigned</c:v>
                </c:pt>
              </c:strCache>
            </c:strRef>
          </c:cat>
          <c:val>
            <c:numRef>
              <c:f>Analysis!$B$25:$B$27</c:f>
              <c:numCache>
                <c:formatCode>0%</c:formatCode>
                <c:ptCount val="3"/>
                <c:pt idx="0">
                  <c:v>0.78</c:v>
                </c:pt>
                <c:pt idx="1">
                  <c:v>0.15333333333333332</c:v>
                </c:pt>
                <c:pt idx="2">
                  <c:v>6.6666666666666666E-2</c:v>
                </c:pt>
              </c:numCache>
            </c:numRef>
          </c:val>
          <c:extLst>
            <c:ext xmlns:c16="http://schemas.microsoft.com/office/drawing/2014/chart" uri="{C3380CC4-5D6E-409C-BE32-E72D297353CC}">
              <c16:uniqueId val="{00000006-8860-4C0F-AE65-03316E715C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Distribution By Performance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Analysis!$D$28:$D$32</c:f>
              <c:strCache>
                <c:ptCount val="5"/>
                <c:pt idx="0">
                  <c:v>Achieving</c:v>
                </c:pt>
                <c:pt idx="1">
                  <c:v>Developing</c:v>
                </c:pt>
                <c:pt idx="2">
                  <c:v>Exceeding</c:v>
                </c:pt>
                <c:pt idx="3">
                  <c:v>Needs Improvement</c:v>
                </c:pt>
                <c:pt idx="4">
                  <c:v>Outstanding</c:v>
                </c:pt>
              </c:strCache>
            </c:strRef>
          </c:cat>
          <c:val>
            <c:numRef>
              <c:f>Analysis!$E$28:$E$32</c:f>
              <c:numCache>
                <c:formatCode>General</c:formatCode>
                <c:ptCount val="5"/>
                <c:pt idx="0">
                  <c:v>41</c:v>
                </c:pt>
                <c:pt idx="1">
                  <c:v>49</c:v>
                </c:pt>
                <c:pt idx="2">
                  <c:v>22</c:v>
                </c:pt>
                <c:pt idx="3">
                  <c:v>28</c:v>
                </c:pt>
                <c:pt idx="4">
                  <c:v>10</c:v>
                </c:pt>
              </c:numCache>
            </c:numRef>
          </c:val>
          <c:extLst>
            <c:ext xmlns:c16="http://schemas.microsoft.com/office/drawing/2014/chart" uri="{C3380CC4-5D6E-409C-BE32-E72D297353CC}">
              <c16:uniqueId val="{00000000-0A20-44D0-B788-0B1633164EE4}"/>
            </c:ext>
          </c:extLst>
        </c:ser>
        <c:dLbls>
          <c:dLblPos val="outEnd"/>
          <c:showLegendKey val="0"/>
          <c:showVal val="1"/>
          <c:showCatName val="0"/>
          <c:showSerName val="0"/>
          <c:showPercent val="0"/>
          <c:showBubbleSize val="0"/>
        </c:dLbls>
        <c:gapWidth val="219"/>
        <c:overlap val="-27"/>
        <c:axId val="206052271"/>
        <c:axId val="206051311"/>
      </c:barChart>
      <c:catAx>
        <c:axId val="2060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1311"/>
        <c:crosses val="autoZero"/>
        <c:auto val="1"/>
        <c:lblAlgn val="ctr"/>
        <c:lblOffset val="100"/>
        <c:noMultiLvlLbl val="0"/>
      </c:catAx>
      <c:valAx>
        <c:axId val="206051311"/>
        <c:scaling>
          <c:orientation val="minMax"/>
        </c:scaling>
        <c:delete val="1"/>
        <c:axPos val="l"/>
        <c:numFmt formatCode="General" sourceLinked="1"/>
        <c:majorTickMark val="none"/>
        <c:minorTickMark val="none"/>
        <c:tickLblPos val="nextTo"/>
        <c:crossAx val="2060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Band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4472561913214129E-3"/>
              <c:y val="-4.46180606180268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236280956607311E-3"/>
              <c:y val="8.92361212360533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Analysis!$L$15:$L$16</c:f>
              <c:strCache>
                <c:ptCount val="1"/>
                <c:pt idx="0">
                  <c:v>Achieving</c:v>
                </c:pt>
              </c:strCache>
            </c:strRef>
          </c:tx>
          <c:spPr>
            <a:solidFill>
              <a:schemeClr val="accent1"/>
            </a:solidFill>
            <a:ln>
              <a:noFill/>
            </a:ln>
            <a:effectLst/>
          </c:spPr>
          <c:invertIfNegative val="0"/>
          <c:dPt>
            <c:idx val="5"/>
            <c:invertIfNegative val="0"/>
            <c:bubble3D val="0"/>
            <c:extLst>
              <c:ext xmlns:c16="http://schemas.microsoft.com/office/drawing/2014/chart" uri="{C3380CC4-5D6E-409C-BE32-E72D297353CC}">
                <c16:uniqueId val="{00000006-76A6-4CBF-A3F7-0FA5CACB4EEE}"/>
              </c:ext>
            </c:extLst>
          </c:dPt>
          <c:dLbls>
            <c:dLbl>
              <c:idx val="5"/>
              <c:layout>
                <c:manualLayout>
                  <c:x val="-2.7236280956607311E-3"/>
                  <c:y val="8.92361212360533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6A6-4CBF-A3F7-0FA5CACB4E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Analysis!$L$17:$L$22</c:f>
              <c:numCache>
                <c:formatCode>#,##0</c:formatCode>
                <c:ptCount val="6"/>
                <c:pt idx="0">
                  <c:v>9</c:v>
                </c:pt>
                <c:pt idx="1">
                  <c:v>10</c:v>
                </c:pt>
                <c:pt idx="2">
                  <c:v>10</c:v>
                </c:pt>
                <c:pt idx="3">
                  <c:v>4</c:v>
                </c:pt>
                <c:pt idx="4">
                  <c:v>4</c:v>
                </c:pt>
                <c:pt idx="5">
                  <c:v>4</c:v>
                </c:pt>
              </c:numCache>
            </c:numRef>
          </c:val>
          <c:extLst>
            <c:ext xmlns:c16="http://schemas.microsoft.com/office/drawing/2014/chart" uri="{C3380CC4-5D6E-409C-BE32-E72D297353CC}">
              <c16:uniqueId val="{00000000-76A6-4CBF-A3F7-0FA5CACB4EEE}"/>
            </c:ext>
          </c:extLst>
        </c:ser>
        <c:ser>
          <c:idx val="1"/>
          <c:order val="1"/>
          <c:tx>
            <c:strRef>
              <c:f>Analysis!$M$15:$M$16</c:f>
              <c:strCache>
                <c:ptCount val="1"/>
                <c:pt idx="0">
                  <c:v>Developing</c:v>
                </c:pt>
              </c:strCache>
            </c:strRef>
          </c:tx>
          <c:spPr>
            <a:solidFill>
              <a:schemeClr val="accent2"/>
            </a:solidFill>
            <a:ln>
              <a:noFill/>
            </a:ln>
            <a:effectLst/>
          </c:spPr>
          <c:invertIfNegative val="0"/>
          <c:dPt>
            <c:idx val="5"/>
            <c:invertIfNegative val="0"/>
            <c:bubble3D val="0"/>
            <c:extLst>
              <c:ext xmlns:c16="http://schemas.microsoft.com/office/drawing/2014/chart" uri="{C3380CC4-5D6E-409C-BE32-E72D297353CC}">
                <c16:uniqueId val="{00000000-460E-4752-B5F7-491848AD314E}"/>
              </c:ext>
            </c:extLst>
          </c:dPt>
          <c:dLbls>
            <c:dLbl>
              <c:idx val="5"/>
              <c:layout>
                <c:manualLayout>
                  <c:x val="-5.4472561913214129E-3"/>
                  <c:y val="-4.46180606180268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0E-4752-B5F7-491848AD31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Analysis!$M$17:$M$22</c:f>
              <c:numCache>
                <c:formatCode>#,##0</c:formatCode>
                <c:ptCount val="6"/>
                <c:pt idx="0">
                  <c:v>12</c:v>
                </c:pt>
                <c:pt idx="1">
                  <c:v>10</c:v>
                </c:pt>
                <c:pt idx="2">
                  <c:v>8</c:v>
                </c:pt>
                <c:pt idx="3">
                  <c:v>7</c:v>
                </c:pt>
                <c:pt idx="4">
                  <c:v>8</c:v>
                </c:pt>
                <c:pt idx="5">
                  <c:v>4</c:v>
                </c:pt>
              </c:numCache>
            </c:numRef>
          </c:val>
          <c:extLst>
            <c:ext xmlns:c16="http://schemas.microsoft.com/office/drawing/2014/chart" uri="{C3380CC4-5D6E-409C-BE32-E72D297353CC}">
              <c16:uniqueId val="{0000000A-76A6-4CBF-A3F7-0FA5CACB4EEE}"/>
            </c:ext>
          </c:extLst>
        </c:ser>
        <c:ser>
          <c:idx val="2"/>
          <c:order val="2"/>
          <c:tx>
            <c:strRef>
              <c:f>Analysis!$N$15:$N$16</c:f>
              <c:strCache>
                <c:ptCount val="1"/>
                <c:pt idx="0">
                  <c:v>Exceeding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Analysis!$N$17:$N$22</c:f>
              <c:numCache>
                <c:formatCode>#,##0</c:formatCode>
                <c:ptCount val="6"/>
                <c:pt idx="0">
                  <c:v>8</c:v>
                </c:pt>
                <c:pt idx="1">
                  <c:v>2</c:v>
                </c:pt>
                <c:pt idx="2">
                  <c:v>6</c:v>
                </c:pt>
                <c:pt idx="3">
                  <c:v>2</c:v>
                </c:pt>
                <c:pt idx="4">
                  <c:v>1</c:v>
                </c:pt>
                <c:pt idx="5">
                  <c:v>3</c:v>
                </c:pt>
              </c:numCache>
            </c:numRef>
          </c:val>
          <c:extLst>
            <c:ext xmlns:c16="http://schemas.microsoft.com/office/drawing/2014/chart" uri="{C3380CC4-5D6E-409C-BE32-E72D297353CC}">
              <c16:uniqueId val="{0000000C-76A6-4CBF-A3F7-0FA5CACB4EEE}"/>
            </c:ext>
          </c:extLst>
        </c:ser>
        <c:ser>
          <c:idx val="3"/>
          <c:order val="3"/>
          <c:tx>
            <c:strRef>
              <c:f>Analysis!$O$15:$O$16</c:f>
              <c:strCache>
                <c:ptCount val="1"/>
                <c:pt idx="0">
                  <c:v>Needs Improvement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Analysis!$O$17:$O$22</c:f>
              <c:numCache>
                <c:formatCode>#,##0</c:formatCode>
                <c:ptCount val="6"/>
                <c:pt idx="0">
                  <c:v>5</c:v>
                </c:pt>
                <c:pt idx="1">
                  <c:v>7</c:v>
                </c:pt>
                <c:pt idx="2">
                  <c:v>5</c:v>
                </c:pt>
                <c:pt idx="3">
                  <c:v>4</c:v>
                </c:pt>
                <c:pt idx="4">
                  <c:v>3</c:v>
                </c:pt>
                <c:pt idx="5">
                  <c:v>4</c:v>
                </c:pt>
              </c:numCache>
            </c:numRef>
          </c:val>
          <c:extLst>
            <c:ext xmlns:c16="http://schemas.microsoft.com/office/drawing/2014/chart" uri="{C3380CC4-5D6E-409C-BE32-E72D297353CC}">
              <c16:uniqueId val="{0000000E-76A6-4CBF-A3F7-0FA5CACB4EEE}"/>
            </c:ext>
          </c:extLst>
        </c:ser>
        <c:ser>
          <c:idx val="4"/>
          <c:order val="4"/>
          <c:tx>
            <c:strRef>
              <c:f>Analysis!$P$15:$P$16</c:f>
              <c:strCache>
                <c:ptCount val="1"/>
                <c:pt idx="0">
                  <c:v>Outstanding</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Analysis!$P$17:$P$22</c:f>
              <c:numCache>
                <c:formatCode>#,##0</c:formatCode>
                <c:ptCount val="6"/>
                <c:pt idx="0">
                  <c:v>2</c:v>
                </c:pt>
                <c:pt idx="1">
                  <c:v>2</c:v>
                </c:pt>
                <c:pt idx="2">
                  <c:v>1</c:v>
                </c:pt>
                <c:pt idx="3">
                  <c:v>1</c:v>
                </c:pt>
                <c:pt idx="4">
                  <c:v>2</c:v>
                </c:pt>
                <c:pt idx="5">
                  <c:v>2</c:v>
                </c:pt>
              </c:numCache>
            </c:numRef>
          </c:val>
          <c:extLst>
            <c:ext xmlns:c16="http://schemas.microsoft.com/office/drawing/2014/chart" uri="{C3380CC4-5D6E-409C-BE32-E72D297353CC}">
              <c16:uniqueId val="{00000014-76A6-4CBF-A3F7-0FA5CACB4EEE}"/>
            </c:ext>
          </c:extLst>
        </c:ser>
        <c:dLbls>
          <c:dLblPos val="outEnd"/>
          <c:showLegendKey val="0"/>
          <c:showVal val="1"/>
          <c:showCatName val="0"/>
          <c:showSerName val="0"/>
          <c:showPercent val="0"/>
          <c:showBubbleSize val="0"/>
        </c:dLbls>
        <c:gapWidth val="182"/>
        <c:axId val="1428414079"/>
        <c:axId val="1428403519"/>
      </c:barChart>
      <c:catAx>
        <c:axId val="142841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03519"/>
        <c:crosses val="autoZero"/>
        <c:auto val="1"/>
        <c:lblAlgn val="ctr"/>
        <c:lblOffset val="100"/>
        <c:noMultiLvlLbl val="0"/>
      </c:catAx>
      <c:valAx>
        <c:axId val="1428403519"/>
        <c:scaling>
          <c:orientation val="minMax"/>
        </c:scaling>
        <c:delete val="1"/>
        <c:axPos val="b"/>
        <c:numFmt formatCode="#,##0" sourceLinked="1"/>
        <c:majorTickMark val="none"/>
        <c:minorTickMark val="none"/>
        <c:tickLblPos val="nextTo"/>
        <c:crossAx val="142841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D8-4374-82A8-4772BA1B68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D8-4374-82A8-4772BA1B68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D8-4374-82A8-4772BA1B68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Analysis!$A$18:$A$20</c:f>
              <c:strCache>
                <c:ptCount val="3"/>
                <c:pt idx="0">
                  <c:v>Active</c:v>
                </c:pt>
                <c:pt idx="1">
                  <c:v>Left</c:v>
                </c:pt>
                <c:pt idx="2">
                  <c:v>Resigned</c:v>
                </c:pt>
              </c:strCache>
            </c:strRef>
          </c:cat>
          <c:val>
            <c:numRef>
              <c:f>Analysis!$B$18:$B$20</c:f>
              <c:numCache>
                <c:formatCode>0.0</c:formatCode>
                <c:ptCount val="3"/>
                <c:pt idx="0">
                  <c:v>68.341880341880341</c:v>
                </c:pt>
                <c:pt idx="1">
                  <c:v>70.260869565217391</c:v>
                </c:pt>
                <c:pt idx="2">
                  <c:v>59.9</c:v>
                </c:pt>
              </c:numCache>
            </c:numRef>
          </c:val>
          <c:extLst>
            <c:ext xmlns:c16="http://schemas.microsoft.com/office/drawing/2014/chart" uri="{C3380CC4-5D6E-409C-BE32-E72D297353CC}">
              <c16:uniqueId val="{00000006-42D8-4374-82A8-4772BA1B68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 Payout By</a:t>
            </a:r>
            <a:r>
              <a:rPr lang="en-US" baseline="0"/>
              <a:t>  Peformance Band</a:t>
            </a:r>
            <a:r>
              <a:rPr lang="en-US"/>
              <a:t> </a:t>
            </a:r>
          </a:p>
        </c:rich>
      </c:tx>
      <c:layout>
        <c:manualLayout>
          <c:xMode val="edge"/>
          <c:yMode val="edge"/>
          <c:x val="0.17081281536336287"/>
          <c:y val="4.313939099265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Analysis!$D$17:$D$21</c:f>
              <c:strCache>
                <c:ptCount val="5"/>
                <c:pt idx="0">
                  <c:v>Achieving</c:v>
                </c:pt>
                <c:pt idx="1">
                  <c:v>Exceeding</c:v>
                </c:pt>
                <c:pt idx="2">
                  <c:v>Outstanding</c:v>
                </c:pt>
                <c:pt idx="3">
                  <c:v>Developing</c:v>
                </c:pt>
                <c:pt idx="4">
                  <c:v>Needs Improvement</c:v>
                </c:pt>
              </c:strCache>
            </c:strRef>
          </c:cat>
          <c:val>
            <c:numRef>
              <c:f>Analysis!$E$17:$E$21</c:f>
              <c:numCache>
                <c:formatCode>[$₦-468]\ #,##0</c:formatCode>
                <c:ptCount val="5"/>
                <c:pt idx="0">
                  <c:v>165216.95000000004</c:v>
                </c:pt>
                <c:pt idx="1">
                  <c:v>144689.44</c:v>
                </c:pt>
                <c:pt idx="2">
                  <c:v>92411.520000000004</c:v>
                </c:pt>
                <c:pt idx="3">
                  <c:v>84593.280000000028</c:v>
                </c:pt>
                <c:pt idx="4">
                  <c:v>0</c:v>
                </c:pt>
              </c:numCache>
            </c:numRef>
          </c:val>
          <c:extLst>
            <c:ext xmlns:c16="http://schemas.microsoft.com/office/drawing/2014/chart" uri="{C3380CC4-5D6E-409C-BE32-E72D297353CC}">
              <c16:uniqueId val="{00000000-F256-4DD0-8AD5-F19333E47782}"/>
            </c:ext>
          </c:extLst>
        </c:ser>
        <c:dLbls>
          <c:dLblPos val="outEnd"/>
          <c:showLegendKey val="0"/>
          <c:showVal val="1"/>
          <c:showCatName val="0"/>
          <c:showSerName val="0"/>
          <c:showPercent val="0"/>
          <c:showBubbleSize val="0"/>
        </c:dLbls>
        <c:gapWidth val="219"/>
        <c:overlap val="-27"/>
        <c:axId val="1601554111"/>
        <c:axId val="1601558911"/>
      </c:barChart>
      <c:catAx>
        <c:axId val="16015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58911"/>
        <c:crosses val="autoZero"/>
        <c:auto val="1"/>
        <c:lblAlgn val="ctr"/>
        <c:lblOffset val="100"/>
        <c:noMultiLvlLbl val="0"/>
      </c:catAx>
      <c:valAx>
        <c:axId val="1601558911"/>
        <c:scaling>
          <c:orientation val="minMax"/>
        </c:scaling>
        <c:delete val="1"/>
        <c:axPos val="l"/>
        <c:numFmt formatCode="[$₦-468]\ #,##0" sourceLinked="1"/>
        <c:majorTickMark val="none"/>
        <c:minorTickMark val="none"/>
        <c:tickLblPos val="nextTo"/>
        <c:crossAx val="1601554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Average</a:t>
            </a:r>
            <a:r>
              <a:rPr lang="en-US" baseline="0">
                <a:latin typeface="Times New Roman" panose="02020603050405020304" pitchFamily="18" charset="0"/>
                <a:cs typeface="Times New Roman" panose="02020603050405020304" pitchFamily="18" charset="0"/>
              </a:rPr>
              <a:t> salary per department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Analysis!$A$8:$A$13</c:f>
              <c:strCache>
                <c:ptCount val="6"/>
                <c:pt idx="0">
                  <c:v>Human Resources</c:v>
                </c:pt>
                <c:pt idx="1">
                  <c:v>Information Technology</c:v>
                </c:pt>
                <c:pt idx="2">
                  <c:v>Sales</c:v>
                </c:pt>
                <c:pt idx="3">
                  <c:v>Operations</c:v>
                </c:pt>
                <c:pt idx="4">
                  <c:v>Marketing</c:v>
                </c:pt>
                <c:pt idx="5">
                  <c:v>Finance</c:v>
                </c:pt>
              </c:strCache>
            </c:strRef>
          </c:cat>
          <c:val>
            <c:numRef>
              <c:f>Analysis!$B$8:$B$13</c:f>
              <c:numCache>
                <c:formatCode>[$₦-468]\ #,##0</c:formatCode>
                <c:ptCount val="6"/>
                <c:pt idx="0">
                  <c:v>85969.833333333328</c:v>
                </c:pt>
                <c:pt idx="1">
                  <c:v>85159.25</c:v>
                </c:pt>
                <c:pt idx="2">
                  <c:v>84550.833333333328</c:v>
                </c:pt>
                <c:pt idx="3">
                  <c:v>81846.709677419349</c:v>
                </c:pt>
                <c:pt idx="4">
                  <c:v>81577.277777777781</c:v>
                </c:pt>
                <c:pt idx="5">
                  <c:v>81484.529411764699</c:v>
                </c:pt>
              </c:numCache>
            </c:numRef>
          </c:val>
          <c:extLst>
            <c:ext xmlns:c16="http://schemas.microsoft.com/office/drawing/2014/chart" uri="{C3380CC4-5D6E-409C-BE32-E72D297353CC}">
              <c16:uniqueId val="{00000000-7E2A-49E8-8A30-6E3E215CFD54}"/>
            </c:ext>
          </c:extLst>
        </c:ser>
        <c:dLbls>
          <c:dLblPos val="outEnd"/>
          <c:showLegendKey val="0"/>
          <c:showVal val="1"/>
          <c:showCatName val="0"/>
          <c:showSerName val="0"/>
          <c:showPercent val="0"/>
          <c:showBubbleSize val="0"/>
        </c:dLbls>
        <c:gapWidth val="219"/>
        <c:overlap val="-27"/>
        <c:axId val="1408135183"/>
        <c:axId val="1408136623"/>
      </c:barChart>
      <c:catAx>
        <c:axId val="14081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136623"/>
        <c:crosses val="autoZero"/>
        <c:auto val="1"/>
        <c:lblAlgn val="ctr"/>
        <c:lblOffset val="100"/>
        <c:noMultiLvlLbl val="0"/>
      </c:catAx>
      <c:valAx>
        <c:axId val="1408136623"/>
        <c:scaling>
          <c:orientation val="minMax"/>
        </c:scaling>
        <c:delete val="1"/>
        <c:axPos val="l"/>
        <c:numFmt formatCode="[$₦-468]\ #,##0" sourceLinked="1"/>
        <c:majorTickMark val="none"/>
        <c:minorTickMark val="none"/>
        <c:tickLblPos val="nextTo"/>
        <c:crossAx val="140813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[HR_Analytics_Capstone_Raw_Data_124957.xlsx]Analysis!PivotTable8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Band by department</a:t>
            </a:r>
          </a:p>
        </c:rich>
      </c:tx>
      <c:layout>
        <c:manualLayout>
          <c:xMode val="edge"/>
          <c:yMode val="edge"/>
          <c:x val="0.21561386321020407"/>
          <c:y val="3.26896827503828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Analysis!$L$15:$L$16</c:f>
              <c:strCache>
                <c:ptCount val="1"/>
                <c:pt idx="0">
                  <c:v>Achieving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Analysis!$L$17:$L$22</c:f>
              <c:numCache>
                <c:formatCode>#,##0</c:formatCode>
                <c:ptCount val="6"/>
                <c:pt idx="0">
                  <c:v>9</c:v>
                </c:pt>
                <c:pt idx="1">
                  <c:v>10</c:v>
                </c:pt>
                <c:pt idx="2">
                  <c:v>10</c:v>
                </c:pt>
                <c:pt idx="3">
                  <c:v>4</c:v>
                </c:pt>
                <c:pt idx="4">
                  <c:v>4</c:v>
                </c:pt>
                <c:pt idx="5">
                  <c:v>4</c:v>
                </c:pt>
              </c:numCache>
            </c:numRef>
          </c:val>
          <c:extLst>
            <c:ext xmlns:c16="http://schemas.microsoft.com/office/drawing/2014/chart" uri="{C3380CC4-5D6E-409C-BE32-E72D297353CC}">
              <c16:uniqueId val="{00000000-B584-45BA-BA7F-1F152B8CCA43}"/>
            </c:ext>
          </c:extLst>
        </c:ser>
        <c:ser>
          <c:idx val="1"/>
          <c:order val="1"/>
          <c:tx>
            <c:strRef>
              <c:f>Analysis!$M$15:$M$16</c:f>
              <c:strCache>
                <c:ptCount val="1"/>
                <c:pt idx="0">
                  <c:v>Developing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Analysis!$M$17:$M$22</c:f>
              <c:numCache>
                <c:formatCode>#,##0</c:formatCode>
                <c:ptCount val="6"/>
                <c:pt idx="0">
                  <c:v>12</c:v>
                </c:pt>
                <c:pt idx="1">
                  <c:v>10</c:v>
                </c:pt>
                <c:pt idx="2">
                  <c:v>8</c:v>
                </c:pt>
                <c:pt idx="3">
                  <c:v>7</c:v>
                </c:pt>
                <c:pt idx="4">
                  <c:v>8</c:v>
                </c:pt>
                <c:pt idx="5">
                  <c:v>4</c:v>
                </c:pt>
              </c:numCache>
            </c:numRef>
          </c:val>
          <c:extLst>
            <c:ext xmlns:c16="http://schemas.microsoft.com/office/drawing/2014/chart" uri="{C3380CC4-5D6E-409C-BE32-E72D297353CC}">
              <c16:uniqueId val="{00000008-B584-45BA-BA7F-1F152B8CCA43}"/>
            </c:ext>
          </c:extLst>
        </c:ser>
        <c:ser>
          <c:idx val="2"/>
          <c:order val="2"/>
          <c:tx>
            <c:strRef>
              <c:f>Analysis!$N$15:$N$16</c:f>
              <c:strCache>
                <c:ptCount val="1"/>
                <c:pt idx="0">
                  <c:v>Exceeding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Analysis!$N$17:$N$22</c:f>
              <c:numCache>
                <c:formatCode>#,##0</c:formatCode>
                <c:ptCount val="6"/>
                <c:pt idx="0">
                  <c:v>8</c:v>
                </c:pt>
                <c:pt idx="1">
                  <c:v>2</c:v>
                </c:pt>
                <c:pt idx="2">
                  <c:v>6</c:v>
                </c:pt>
                <c:pt idx="3">
                  <c:v>2</c:v>
                </c:pt>
                <c:pt idx="4">
                  <c:v>1</c:v>
                </c:pt>
                <c:pt idx="5">
                  <c:v>3</c:v>
                </c:pt>
              </c:numCache>
            </c:numRef>
          </c:val>
          <c:extLst>
            <c:ext xmlns:c16="http://schemas.microsoft.com/office/drawing/2014/chart" uri="{C3380CC4-5D6E-409C-BE32-E72D297353CC}">
              <c16:uniqueId val="{0000000A-B584-45BA-BA7F-1F152B8CCA43}"/>
            </c:ext>
          </c:extLst>
        </c:ser>
        <c:ser>
          <c:idx val="3"/>
          <c:order val="3"/>
          <c:tx>
            <c:strRef>
              <c:f>Analysis!$O$15:$O$16</c:f>
              <c:strCache>
                <c:ptCount val="1"/>
                <c:pt idx="0">
                  <c:v>Needs Improvement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Analysis!$O$17:$O$22</c:f>
              <c:numCache>
                <c:formatCode>#,##0</c:formatCode>
                <c:ptCount val="6"/>
                <c:pt idx="0">
                  <c:v>5</c:v>
                </c:pt>
                <c:pt idx="1">
                  <c:v>7</c:v>
                </c:pt>
                <c:pt idx="2">
                  <c:v>5</c:v>
                </c:pt>
                <c:pt idx="3">
                  <c:v>4</c:v>
                </c:pt>
                <c:pt idx="4">
                  <c:v>3</c:v>
                </c:pt>
                <c:pt idx="5">
                  <c:v>4</c:v>
                </c:pt>
              </c:numCache>
            </c:numRef>
          </c:val>
          <c:extLst>
            <c:ext xmlns:c16="http://schemas.microsoft.com/office/drawing/2014/chart" uri="{C3380CC4-5D6E-409C-BE32-E72D297353CC}">
              <c16:uniqueId val="{0000000C-B584-45BA-BA7F-1F152B8CCA43}"/>
            </c:ext>
          </c:extLst>
        </c:ser>
        <c:ser>
          <c:idx val="4"/>
          <c:order val="4"/>
          <c:tx>
            <c:strRef>
              <c:f>Analysis!$P$15:$P$16</c:f>
              <c:strCache>
                <c:ptCount val="1"/>
                <c:pt idx="0">
                  <c:v>Outstanding</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6"/>
                <c:pt idx="0">
                  <c:v>Information Technology</c:v>
                </c:pt>
                <c:pt idx="1">
                  <c:v>Operations</c:v>
                </c:pt>
                <c:pt idx="2">
                  <c:v>Sales</c:v>
                </c:pt>
                <c:pt idx="3">
                  <c:v>Human Resources</c:v>
                </c:pt>
                <c:pt idx="4">
                  <c:v>Marketing</c:v>
                </c:pt>
                <c:pt idx="5">
                  <c:v>Finance</c:v>
                </c:pt>
              </c:strCache>
            </c:strRef>
          </c:cat>
          <c:val>
            <c:numRef>
              <c:f>Analysis!$P$17:$P$22</c:f>
              <c:numCache>
                <c:formatCode>#,##0</c:formatCode>
                <c:ptCount val="6"/>
                <c:pt idx="0">
                  <c:v>2</c:v>
                </c:pt>
                <c:pt idx="1">
                  <c:v>2</c:v>
                </c:pt>
                <c:pt idx="2">
                  <c:v>1</c:v>
                </c:pt>
                <c:pt idx="3">
                  <c:v>1</c:v>
                </c:pt>
                <c:pt idx="4">
                  <c:v>2</c:v>
                </c:pt>
                <c:pt idx="5">
                  <c:v>2</c:v>
                </c:pt>
              </c:numCache>
            </c:numRef>
          </c:val>
          <c:extLst>
            <c:ext xmlns:c16="http://schemas.microsoft.com/office/drawing/2014/chart" uri="{C3380CC4-5D6E-409C-BE32-E72D297353CC}">
              <c16:uniqueId val="{00000012-B584-45BA-BA7F-1F152B8CCA43}"/>
            </c:ext>
          </c:extLst>
        </c:ser>
        <c:dLbls>
          <c:dLblPos val="outEnd"/>
          <c:showLegendKey val="0"/>
          <c:showVal val="1"/>
          <c:showCatName val="0"/>
          <c:showSerName val="0"/>
          <c:showPercent val="0"/>
          <c:showBubbleSize val="0"/>
        </c:dLbls>
        <c:gapWidth val="182"/>
        <c:axId val="1401483135"/>
        <c:axId val="1401493215"/>
      </c:barChart>
      <c:catAx>
        <c:axId val="1401483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493215"/>
        <c:crosses val="autoZero"/>
        <c:auto val="1"/>
        <c:lblAlgn val="ctr"/>
        <c:lblOffset val="100"/>
        <c:noMultiLvlLbl val="0"/>
      </c:catAx>
      <c:valAx>
        <c:axId val="1401493215"/>
        <c:scaling>
          <c:orientation val="minMax"/>
        </c:scaling>
        <c:delete val="1"/>
        <c:axPos val="b"/>
        <c:numFmt formatCode="#,##0" sourceLinked="1"/>
        <c:majorTickMark val="out"/>
        <c:minorTickMark val="none"/>
        <c:tickLblPos val="nextTo"/>
        <c:crossAx val="140148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13" Type="http://schemas.openxmlformats.org/officeDocument/2006/relationships/image" Target="../media/image9.jpeg"/><Relationship Id="rId3" Type="http://schemas.openxmlformats.org/officeDocument/2006/relationships/chart" Target="../charts/chart3.xml"/><Relationship Id="rId7" Type="http://schemas.openxmlformats.org/officeDocument/2006/relationships/image" Target="../media/image3.jpeg"/><Relationship Id="rId12" Type="http://schemas.openxmlformats.org/officeDocument/2006/relationships/image" Target="../media/image8.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11" Type="http://schemas.openxmlformats.org/officeDocument/2006/relationships/image" Target="../media/image7.jpeg"/><Relationship Id="rId5" Type="http://schemas.openxmlformats.org/officeDocument/2006/relationships/image" Target="../media/image1.jpeg"/><Relationship Id="rId10" Type="http://schemas.openxmlformats.org/officeDocument/2006/relationships/image" Target="../media/image6.jpeg"/><Relationship Id="rId4" Type="http://schemas.openxmlformats.org/officeDocument/2006/relationships/chart" Target="../charts/chart4.xml"/><Relationship Id="rId9" Type="http://schemas.openxmlformats.org/officeDocument/2006/relationships/image" Target="../media/image5.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106886</xdr:colOff>
      <xdr:row>39</xdr:row>
      <xdr:rowOff>165126</xdr:rowOff>
    </xdr:to>
    <xdr:sp macro="" textlink="">
      <xdr:nvSpPr>
        <xdr:cNvPr id="2" name="Rectangle: Rounded Corners 1">
          <a:extLst>
            <a:ext uri="{FF2B5EF4-FFF2-40B4-BE49-F238E27FC236}">
              <a16:creationId xmlns:a16="http://schemas.microsoft.com/office/drawing/2014/main" id="{E9849053-BD10-0629-1211-F6511A31365C}"/>
            </a:ext>
          </a:extLst>
        </xdr:cNvPr>
        <xdr:cNvSpPr/>
      </xdr:nvSpPr>
      <xdr:spPr>
        <a:xfrm>
          <a:off x="0" y="0"/>
          <a:ext cx="11685714" cy="7710712"/>
        </a:xfrm>
        <a:prstGeom prst="roundRect">
          <a:avLst>
            <a:gd name="adj" fmla="val 3742"/>
          </a:avLst>
        </a:prstGeom>
        <a:solidFill>
          <a:schemeClr val="accent3">
            <a:lumMod val="50000"/>
            <a:alpha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2">
                <a:lumMod val="60000"/>
                <a:lumOff val="40000"/>
              </a:schemeClr>
            </a:solidFill>
          </a:endParaRPr>
        </a:p>
      </xdr:txBody>
    </xdr:sp>
    <xdr:clientData/>
  </xdr:twoCellAnchor>
  <xdr:twoCellAnchor>
    <xdr:from>
      <xdr:col>2</xdr:col>
      <xdr:colOff>245498</xdr:colOff>
      <xdr:row>0</xdr:row>
      <xdr:rowOff>181174</xdr:rowOff>
    </xdr:from>
    <xdr:to>
      <xdr:col>6</xdr:col>
      <xdr:colOff>588819</xdr:colOff>
      <xdr:row>4</xdr:row>
      <xdr:rowOff>45104</xdr:rowOff>
    </xdr:to>
    <xdr:sp macro="" textlink="">
      <xdr:nvSpPr>
        <xdr:cNvPr id="4" name="Rectangle: Rounded Corners 3">
          <a:extLst>
            <a:ext uri="{FF2B5EF4-FFF2-40B4-BE49-F238E27FC236}">
              <a16:creationId xmlns:a16="http://schemas.microsoft.com/office/drawing/2014/main" id="{5818DC6D-7DD8-0001-EDD3-1E2C3D035CAB}"/>
            </a:ext>
          </a:extLst>
        </xdr:cNvPr>
        <xdr:cNvSpPr/>
      </xdr:nvSpPr>
      <xdr:spPr>
        <a:xfrm>
          <a:off x="1457771" y="181174"/>
          <a:ext cx="2767866" cy="625930"/>
        </a:xfrm>
        <a:prstGeom prst="roundRect">
          <a:avLst/>
        </a:prstGeom>
        <a:solidFill>
          <a:srgbClr val="B9CDE5">
            <a:alpha val="5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u="none" kern="1200">
              <a:solidFill>
                <a:schemeClr val="tx1"/>
              </a:solidFill>
            </a:rPr>
            <a:t>HR Analysis</a:t>
          </a:r>
          <a:r>
            <a:rPr lang="en-US" sz="1800" b="1" i="1" u="none" kern="1200" baseline="0">
              <a:solidFill>
                <a:schemeClr val="tx1"/>
              </a:solidFill>
            </a:rPr>
            <a:t> Dashboard</a:t>
          </a:r>
        </a:p>
        <a:p>
          <a:pPr algn="l"/>
          <a:r>
            <a:rPr lang="en-US" sz="1000" b="1" i="1" u="none" kern="1200">
              <a:solidFill>
                <a:schemeClr val="tx1"/>
              </a:solidFill>
            </a:rPr>
            <a:t>Overview</a:t>
          </a:r>
          <a:r>
            <a:rPr lang="en-US" sz="1000" b="1" i="1" u="none" kern="1200" baseline="0">
              <a:solidFill>
                <a:schemeClr val="tx1"/>
              </a:solidFill>
            </a:rPr>
            <a:t> of employee performance</a:t>
          </a:r>
        </a:p>
        <a:p>
          <a:pPr algn="l"/>
          <a:endParaRPr lang="en-US" sz="1000" b="1" i="1" u="none" kern="1200" baseline="0">
            <a:solidFill>
              <a:schemeClr val="tx1"/>
            </a:solidFill>
          </a:endParaRPr>
        </a:p>
        <a:p>
          <a:pPr algn="l"/>
          <a:endParaRPr lang="en-US" sz="1000" b="1" i="1" u="none" kern="1200">
            <a:solidFill>
              <a:schemeClr val="tx1"/>
            </a:solidFill>
          </a:endParaRPr>
        </a:p>
      </xdr:txBody>
    </xdr:sp>
    <xdr:clientData/>
  </xdr:twoCellAnchor>
  <xdr:twoCellAnchor>
    <xdr:from>
      <xdr:col>0</xdr:col>
      <xdr:colOff>352262</xdr:colOff>
      <xdr:row>7</xdr:row>
      <xdr:rowOff>48720</xdr:rowOff>
    </xdr:from>
    <xdr:to>
      <xdr:col>2</xdr:col>
      <xdr:colOff>572070</xdr:colOff>
      <xdr:row>9</xdr:row>
      <xdr:rowOff>121989</xdr:rowOff>
    </xdr:to>
    <xdr:sp macro="" textlink="">
      <xdr:nvSpPr>
        <xdr:cNvPr id="5" name="Rectangle: Rounded Corners 4">
          <a:extLst>
            <a:ext uri="{FF2B5EF4-FFF2-40B4-BE49-F238E27FC236}">
              <a16:creationId xmlns:a16="http://schemas.microsoft.com/office/drawing/2014/main" id="{0EE01365-965B-3D68-D43C-A6284A1AFAF3}"/>
            </a:ext>
          </a:extLst>
        </xdr:cNvPr>
        <xdr:cNvSpPr/>
      </xdr:nvSpPr>
      <xdr:spPr>
        <a:xfrm>
          <a:off x="352262" y="1382220"/>
          <a:ext cx="1432081" cy="454269"/>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kern="1200">
              <a:solidFill>
                <a:schemeClr val="tx1"/>
              </a:solidFill>
            </a:rPr>
            <a:t>Employee</a:t>
          </a:r>
        </a:p>
      </xdr:txBody>
    </xdr:sp>
    <xdr:clientData/>
  </xdr:twoCellAnchor>
  <xdr:twoCellAnchor>
    <xdr:from>
      <xdr:col>0</xdr:col>
      <xdr:colOff>413315</xdr:colOff>
      <xdr:row>18</xdr:row>
      <xdr:rowOff>72661</xdr:rowOff>
    </xdr:from>
    <xdr:to>
      <xdr:col>3</xdr:col>
      <xdr:colOff>73461</xdr:colOff>
      <xdr:row>20</xdr:row>
      <xdr:rowOff>163096</xdr:rowOff>
    </xdr:to>
    <xdr:sp macro="" textlink="">
      <xdr:nvSpPr>
        <xdr:cNvPr id="6" name="Rectangle: Rounded Corners 5">
          <a:extLst>
            <a:ext uri="{FF2B5EF4-FFF2-40B4-BE49-F238E27FC236}">
              <a16:creationId xmlns:a16="http://schemas.microsoft.com/office/drawing/2014/main" id="{7501CAC6-D3B0-1959-7F35-811D84995662}"/>
            </a:ext>
          </a:extLst>
        </xdr:cNvPr>
        <xdr:cNvSpPr/>
      </xdr:nvSpPr>
      <xdr:spPr>
        <a:xfrm>
          <a:off x="413315" y="3501661"/>
          <a:ext cx="1478555" cy="471435"/>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kern="1200">
              <a:solidFill>
                <a:schemeClr val="tx1"/>
              </a:solidFill>
              <a:latin typeface="+mn-lt"/>
              <a:ea typeface="+mn-ea"/>
              <a:cs typeface="+mn-cs"/>
            </a:rPr>
            <a:t>Compensation</a:t>
          </a:r>
        </a:p>
      </xdr:txBody>
    </xdr:sp>
    <xdr:clientData/>
  </xdr:twoCellAnchor>
  <xdr:twoCellAnchor>
    <xdr:from>
      <xdr:col>0</xdr:col>
      <xdr:colOff>377687</xdr:colOff>
      <xdr:row>12</xdr:row>
      <xdr:rowOff>174439</xdr:rowOff>
    </xdr:from>
    <xdr:to>
      <xdr:col>2</xdr:col>
      <xdr:colOff>597495</xdr:colOff>
      <xdr:row>15</xdr:row>
      <xdr:rowOff>45485</xdr:rowOff>
    </xdr:to>
    <xdr:sp macro="" textlink="">
      <xdr:nvSpPr>
        <xdr:cNvPr id="7" name="Rectangle: Rounded Corners 6">
          <a:extLst>
            <a:ext uri="{FF2B5EF4-FFF2-40B4-BE49-F238E27FC236}">
              <a16:creationId xmlns:a16="http://schemas.microsoft.com/office/drawing/2014/main" id="{C966E15F-767D-8EEE-A3D0-8F3EDE9DDC88}"/>
            </a:ext>
          </a:extLst>
        </xdr:cNvPr>
        <xdr:cNvSpPr/>
      </xdr:nvSpPr>
      <xdr:spPr>
        <a:xfrm>
          <a:off x="377687" y="2460439"/>
          <a:ext cx="1432081" cy="442546"/>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kern="1200">
              <a:solidFill>
                <a:schemeClr val="tx1"/>
              </a:solidFill>
              <a:latin typeface="+mn-lt"/>
              <a:ea typeface="+mn-ea"/>
              <a:cs typeface="+mn-cs"/>
            </a:rPr>
            <a:t>Performance</a:t>
          </a:r>
        </a:p>
      </xdr:txBody>
    </xdr:sp>
    <xdr:clientData/>
  </xdr:twoCellAnchor>
  <xdr:twoCellAnchor>
    <xdr:from>
      <xdr:col>0</xdr:col>
      <xdr:colOff>321129</xdr:colOff>
      <xdr:row>24</xdr:row>
      <xdr:rowOff>90854</xdr:rowOff>
    </xdr:from>
    <xdr:to>
      <xdr:col>2</xdr:col>
      <xdr:colOff>540937</xdr:colOff>
      <xdr:row>26</xdr:row>
      <xdr:rowOff>167473</xdr:rowOff>
    </xdr:to>
    <xdr:sp macro="" textlink="">
      <xdr:nvSpPr>
        <xdr:cNvPr id="9" name="Rectangle: Rounded Corners 8">
          <a:extLst>
            <a:ext uri="{FF2B5EF4-FFF2-40B4-BE49-F238E27FC236}">
              <a16:creationId xmlns:a16="http://schemas.microsoft.com/office/drawing/2014/main" id="{40E23CC6-FC4A-CDDC-404E-7D3C17D97CF6}"/>
            </a:ext>
          </a:extLst>
        </xdr:cNvPr>
        <xdr:cNvSpPr/>
      </xdr:nvSpPr>
      <xdr:spPr>
        <a:xfrm>
          <a:off x="321129" y="4612612"/>
          <a:ext cx="1433984" cy="453432"/>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kern="1200">
              <a:solidFill>
                <a:schemeClr val="tx1"/>
              </a:solidFill>
              <a:latin typeface="+mn-lt"/>
              <a:ea typeface="+mn-ea"/>
              <a:cs typeface="+mn-cs"/>
            </a:rPr>
            <a:t>Attrition</a:t>
          </a:r>
        </a:p>
      </xdr:txBody>
    </xdr:sp>
    <xdr:clientData/>
  </xdr:twoCellAnchor>
  <xdr:twoCellAnchor>
    <xdr:from>
      <xdr:col>3</xdr:col>
      <xdr:colOff>115139</xdr:colOff>
      <xdr:row>5</xdr:row>
      <xdr:rowOff>52336</xdr:rowOff>
    </xdr:from>
    <xdr:to>
      <xdr:col>6</xdr:col>
      <xdr:colOff>73270</xdr:colOff>
      <xdr:row>11</xdr:row>
      <xdr:rowOff>177940</xdr:rowOff>
    </xdr:to>
    <xdr:grpSp>
      <xdr:nvGrpSpPr>
        <xdr:cNvPr id="29" name="Group 28">
          <a:extLst>
            <a:ext uri="{FF2B5EF4-FFF2-40B4-BE49-F238E27FC236}">
              <a16:creationId xmlns:a16="http://schemas.microsoft.com/office/drawing/2014/main" id="{34408C25-8CCC-B34D-E6A1-4D33E24A0363}"/>
            </a:ext>
          </a:extLst>
        </xdr:cNvPr>
        <xdr:cNvGrpSpPr/>
      </xdr:nvGrpSpPr>
      <xdr:grpSpPr>
        <a:xfrm>
          <a:off x="1952103" y="1004836"/>
          <a:ext cx="1795096" cy="1268604"/>
          <a:chOff x="1936403" y="994369"/>
          <a:chExt cx="1779394" cy="1256044"/>
        </a:xfrm>
      </xdr:grpSpPr>
      <xdr:sp macro="" textlink="">
        <xdr:nvSpPr>
          <xdr:cNvPr id="10" name="Rectangle: Rounded Corners 9">
            <a:extLst>
              <a:ext uri="{FF2B5EF4-FFF2-40B4-BE49-F238E27FC236}">
                <a16:creationId xmlns:a16="http://schemas.microsoft.com/office/drawing/2014/main" id="{0E2EA3EE-3A7E-BEC8-0F30-AE79FDD5CC54}"/>
              </a:ext>
            </a:extLst>
          </xdr:cNvPr>
          <xdr:cNvSpPr/>
        </xdr:nvSpPr>
        <xdr:spPr>
          <a:xfrm>
            <a:off x="1936403" y="994369"/>
            <a:ext cx="1779394" cy="1256044"/>
          </a:xfrm>
          <a:prstGeom prst="roundRect">
            <a:avLst>
              <a:gd name="adj" fmla="val 10000"/>
            </a:avLst>
          </a:prstGeom>
          <a:solidFill>
            <a:srgbClr val="B9CDE5">
              <a:alpha val="5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kern="1200" baseline="0">
              <a:solidFill>
                <a:schemeClr val="tx1"/>
              </a:solidFill>
            </a:endParaRPr>
          </a:p>
        </xdr:txBody>
      </xdr:sp>
      <xdr:sp macro="" textlink="">
        <xdr:nvSpPr>
          <xdr:cNvPr id="14" name="TextBox 13">
            <a:extLst>
              <a:ext uri="{FF2B5EF4-FFF2-40B4-BE49-F238E27FC236}">
                <a16:creationId xmlns:a16="http://schemas.microsoft.com/office/drawing/2014/main" id="{AB759CD8-D8F5-E32A-BC0A-FD264D709905}"/>
              </a:ext>
            </a:extLst>
          </xdr:cNvPr>
          <xdr:cNvSpPr txBox="1"/>
        </xdr:nvSpPr>
        <xdr:spPr>
          <a:xfrm>
            <a:off x="2208544" y="1203709"/>
            <a:ext cx="1224643"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Total Headcount</a:t>
            </a:r>
          </a:p>
        </xdr:txBody>
      </xdr:sp>
      <xdr:sp macro="" textlink="Analysis!B4">
        <xdr:nvSpPr>
          <xdr:cNvPr id="16" name="TextBox 15">
            <a:extLst>
              <a:ext uri="{FF2B5EF4-FFF2-40B4-BE49-F238E27FC236}">
                <a16:creationId xmlns:a16="http://schemas.microsoft.com/office/drawing/2014/main" id="{E8D875FB-488E-5EBC-B368-2688E75FE61E}"/>
              </a:ext>
            </a:extLst>
          </xdr:cNvPr>
          <xdr:cNvSpPr txBox="1"/>
        </xdr:nvSpPr>
        <xdr:spPr>
          <a:xfrm>
            <a:off x="2324224" y="1664517"/>
            <a:ext cx="942033" cy="32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DD13C4-9234-4AC8-95C5-6AD777651855}" type="TxLink">
              <a:rPr lang="en-US" sz="2000" b="0" i="0" u="none" strike="noStrike" kern="1200">
                <a:solidFill>
                  <a:srgbClr val="000000"/>
                </a:solidFill>
                <a:latin typeface="Calibri"/>
                <a:cs typeface="Calibri"/>
              </a:rPr>
              <a:pPr algn="ctr"/>
              <a:t>150</a:t>
            </a:fld>
            <a:endParaRPr lang="en-US" sz="2000" kern="1200"/>
          </a:p>
        </xdr:txBody>
      </xdr:sp>
    </xdr:grpSp>
    <xdr:clientData/>
  </xdr:twoCellAnchor>
  <xdr:twoCellAnchor>
    <xdr:from>
      <xdr:col>12</xdr:col>
      <xdr:colOff>302730</xdr:colOff>
      <xdr:row>5</xdr:row>
      <xdr:rowOff>69020</xdr:rowOff>
    </xdr:from>
    <xdr:to>
      <xdr:col>15</xdr:col>
      <xdr:colOff>260860</xdr:colOff>
      <xdr:row>11</xdr:row>
      <xdr:rowOff>185317</xdr:rowOff>
    </xdr:to>
    <xdr:sp macro="" textlink="">
      <xdr:nvSpPr>
        <xdr:cNvPr id="20" name="Rectangle: Rounded Corners 19">
          <a:extLst>
            <a:ext uri="{FF2B5EF4-FFF2-40B4-BE49-F238E27FC236}">
              <a16:creationId xmlns:a16="http://schemas.microsoft.com/office/drawing/2014/main" id="{47617CCA-4695-3E85-C26D-01292B6FAB7B}"/>
            </a:ext>
          </a:extLst>
        </xdr:cNvPr>
        <xdr:cNvSpPr/>
      </xdr:nvSpPr>
      <xdr:spPr>
        <a:xfrm>
          <a:off x="7591426" y="1035324"/>
          <a:ext cx="1780304" cy="1275863"/>
        </a:xfrm>
        <a:prstGeom prst="roundRect">
          <a:avLst>
            <a:gd name="adj" fmla="val 10000"/>
          </a:avLst>
        </a:prstGeom>
        <a:solidFill>
          <a:srgbClr val="B9CDE5">
            <a:alpha val="5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kern="1200" baseline="0">
            <a:solidFill>
              <a:schemeClr val="tx1"/>
            </a:solidFill>
          </a:endParaRPr>
        </a:p>
      </xdr:txBody>
    </xdr:sp>
    <xdr:clientData/>
  </xdr:twoCellAnchor>
  <xdr:twoCellAnchor>
    <xdr:from>
      <xdr:col>12</xdr:col>
      <xdr:colOff>489068</xdr:colOff>
      <xdr:row>6</xdr:row>
      <xdr:rowOff>41056</xdr:rowOff>
    </xdr:from>
    <xdr:to>
      <xdr:col>15</xdr:col>
      <xdr:colOff>175057</xdr:colOff>
      <xdr:row>7</xdr:row>
      <xdr:rowOff>192449</xdr:rowOff>
    </xdr:to>
    <xdr:sp macro="" textlink="">
      <xdr:nvSpPr>
        <xdr:cNvPr id="21" name="TextBox 20">
          <a:extLst>
            <a:ext uri="{FF2B5EF4-FFF2-40B4-BE49-F238E27FC236}">
              <a16:creationId xmlns:a16="http://schemas.microsoft.com/office/drawing/2014/main" id="{F1D05C82-8CE5-1E24-FB2C-E81CA248840C}"/>
            </a:ext>
          </a:extLst>
        </xdr:cNvPr>
        <xdr:cNvSpPr txBox="1"/>
      </xdr:nvSpPr>
      <xdr:spPr>
        <a:xfrm>
          <a:off x="7777764" y="1200621"/>
          <a:ext cx="1508163" cy="34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Overall</a:t>
          </a:r>
          <a:r>
            <a:rPr lang="en-US" sz="1100" b="1" kern="1200" baseline="0"/>
            <a:t> Attrition Rate</a:t>
          </a:r>
          <a:endParaRPr lang="en-US" sz="1100" b="1" kern="1200"/>
        </a:p>
      </xdr:txBody>
    </xdr:sp>
    <xdr:clientData/>
  </xdr:twoCellAnchor>
  <xdr:twoCellAnchor>
    <xdr:from>
      <xdr:col>13</xdr:col>
      <xdr:colOff>152744</xdr:colOff>
      <xdr:row>8</xdr:row>
      <xdr:rowOff>98613</xdr:rowOff>
    </xdr:from>
    <xdr:to>
      <xdr:col>14</xdr:col>
      <xdr:colOff>487689</xdr:colOff>
      <xdr:row>10</xdr:row>
      <xdr:rowOff>46278</xdr:rowOff>
    </xdr:to>
    <xdr:sp macro="" textlink="Analysis!F12">
      <xdr:nvSpPr>
        <xdr:cNvPr id="22" name="TextBox 21">
          <a:extLst>
            <a:ext uri="{FF2B5EF4-FFF2-40B4-BE49-F238E27FC236}">
              <a16:creationId xmlns:a16="http://schemas.microsoft.com/office/drawing/2014/main" id="{70EEA4E9-26FF-6B68-E275-94579E288063}"/>
            </a:ext>
          </a:extLst>
        </xdr:cNvPr>
        <xdr:cNvSpPr txBox="1"/>
      </xdr:nvSpPr>
      <xdr:spPr>
        <a:xfrm>
          <a:off x="8127913" y="1648444"/>
          <a:ext cx="948420" cy="33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2F802D-0F9E-4F97-B181-C83BBDCA6C42}" type="TxLink">
            <a:rPr lang="en-US" sz="2000" b="0" i="0" u="none" strike="noStrike" kern="1200">
              <a:solidFill>
                <a:srgbClr val="000000"/>
              </a:solidFill>
              <a:latin typeface="Calibri"/>
              <a:cs typeface="Calibri"/>
            </a:rPr>
            <a:pPr algn="ctr"/>
            <a:t>15.3%</a:t>
          </a:fld>
          <a:endParaRPr lang="en-US" sz="2000" kern="1200"/>
        </a:p>
      </xdr:txBody>
    </xdr:sp>
    <xdr:clientData/>
  </xdr:twoCellAnchor>
  <xdr:twoCellAnchor>
    <xdr:from>
      <xdr:col>9</xdr:col>
      <xdr:colOff>252468</xdr:colOff>
      <xdr:row>5</xdr:row>
      <xdr:rowOff>64059</xdr:rowOff>
    </xdr:from>
    <xdr:to>
      <xdr:col>12</xdr:col>
      <xdr:colOff>210598</xdr:colOff>
      <xdr:row>12</xdr:row>
      <xdr:rowOff>1257</xdr:rowOff>
    </xdr:to>
    <xdr:sp macro="" textlink="">
      <xdr:nvSpPr>
        <xdr:cNvPr id="23" name="Rectangle: Rounded Corners 22">
          <a:extLst>
            <a:ext uri="{FF2B5EF4-FFF2-40B4-BE49-F238E27FC236}">
              <a16:creationId xmlns:a16="http://schemas.microsoft.com/office/drawing/2014/main" id="{51FC968A-D0F8-2950-27C1-8372987B52CE}"/>
            </a:ext>
          </a:extLst>
        </xdr:cNvPr>
        <xdr:cNvSpPr/>
      </xdr:nvSpPr>
      <xdr:spPr>
        <a:xfrm>
          <a:off x="5716259" y="1006092"/>
          <a:ext cx="1779394" cy="1256044"/>
        </a:xfrm>
        <a:prstGeom prst="roundRect">
          <a:avLst>
            <a:gd name="adj" fmla="val 10000"/>
          </a:avLst>
        </a:prstGeom>
        <a:solidFill>
          <a:srgbClr val="B9CDE5">
            <a:alpha val="5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kern="1200" baseline="0">
            <a:solidFill>
              <a:schemeClr val="tx1"/>
            </a:solidFill>
          </a:endParaRPr>
        </a:p>
      </xdr:txBody>
    </xdr:sp>
    <xdr:clientData/>
  </xdr:twoCellAnchor>
  <xdr:twoCellAnchor>
    <xdr:from>
      <xdr:col>9</xdr:col>
      <xdr:colOff>502418</xdr:colOff>
      <xdr:row>6</xdr:row>
      <xdr:rowOff>53591</xdr:rowOff>
    </xdr:from>
    <xdr:to>
      <xdr:col>12</xdr:col>
      <xdr:colOff>94203</xdr:colOff>
      <xdr:row>8</xdr:row>
      <xdr:rowOff>11723</xdr:rowOff>
    </xdr:to>
    <xdr:sp macro="" textlink="">
      <xdr:nvSpPr>
        <xdr:cNvPr id="24" name="TextBox 23">
          <a:extLst>
            <a:ext uri="{FF2B5EF4-FFF2-40B4-BE49-F238E27FC236}">
              <a16:creationId xmlns:a16="http://schemas.microsoft.com/office/drawing/2014/main" id="{F59BF669-FC3F-2E32-05D6-214ABF17C8EC}"/>
            </a:ext>
          </a:extLst>
        </xdr:cNvPr>
        <xdr:cNvSpPr txBox="1"/>
      </xdr:nvSpPr>
      <xdr:spPr>
        <a:xfrm>
          <a:off x="5966209" y="1184031"/>
          <a:ext cx="1413049"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Total</a:t>
          </a:r>
          <a:r>
            <a:rPr lang="en-US" sz="1100" b="1" kern="1200" baseline="0"/>
            <a:t> Bonus Payout</a:t>
          </a:r>
          <a:endParaRPr lang="en-US" sz="1100" b="1" kern="1200"/>
        </a:p>
      </xdr:txBody>
    </xdr:sp>
    <xdr:clientData/>
  </xdr:twoCellAnchor>
  <xdr:twoCellAnchor>
    <xdr:from>
      <xdr:col>9</xdr:col>
      <xdr:colOff>538609</xdr:colOff>
      <xdr:row>8</xdr:row>
      <xdr:rowOff>127747</xdr:rowOff>
    </xdr:from>
    <xdr:to>
      <xdr:col>11</xdr:col>
      <xdr:colOff>528142</xdr:colOff>
      <xdr:row>10</xdr:row>
      <xdr:rowOff>75412</xdr:rowOff>
    </xdr:to>
    <xdr:sp macro="" textlink="Analysis!E24">
      <xdr:nvSpPr>
        <xdr:cNvPr id="25" name="TextBox 24">
          <a:extLst>
            <a:ext uri="{FF2B5EF4-FFF2-40B4-BE49-F238E27FC236}">
              <a16:creationId xmlns:a16="http://schemas.microsoft.com/office/drawing/2014/main" id="{3B588AEC-B18D-67C2-1A1B-44145EEB8B89}"/>
            </a:ext>
          </a:extLst>
        </xdr:cNvPr>
        <xdr:cNvSpPr txBox="1"/>
      </xdr:nvSpPr>
      <xdr:spPr>
        <a:xfrm>
          <a:off x="6059880" y="1677578"/>
          <a:ext cx="1216482" cy="33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07968F-0292-48EC-A467-5CB39842B13E}" type="TxLink">
            <a:rPr lang="en-US" sz="1800" b="0" i="0" u="none" strike="noStrike" kern="1200">
              <a:solidFill>
                <a:srgbClr val="000000"/>
              </a:solidFill>
              <a:latin typeface="Calibri"/>
              <a:cs typeface="Calibri"/>
            </a:rPr>
            <a:pPr algn="ctr"/>
            <a:t>₦486,911</a:t>
          </a:fld>
          <a:endParaRPr lang="en-US" sz="1800" b="0" i="0" u="none" strike="noStrike" kern="1200">
            <a:solidFill>
              <a:srgbClr val="000000"/>
            </a:solidFill>
            <a:latin typeface="Calibri"/>
            <a:cs typeface="Calibri"/>
          </a:endParaRPr>
        </a:p>
      </xdr:txBody>
    </xdr:sp>
    <xdr:clientData/>
  </xdr:twoCellAnchor>
  <xdr:twoCellAnchor>
    <xdr:from>
      <xdr:col>6</xdr:col>
      <xdr:colOff>164125</xdr:colOff>
      <xdr:row>5</xdr:row>
      <xdr:rowOff>48988</xdr:rowOff>
    </xdr:from>
    <xdr:to>
      <xdr:col>9</xdr:col>
      <xdr:colOff>122255</xdr:colOff>
      <xdr:row>11</xdr:row>
      <xdr:rowOff>174592</xdr:rowOff>
    </xdr:to>
    <xdr:sp macro="" textlink="">
      <xdr:nvSpPr>
        <xdr:cNvPr id="26" name="Rectangle: Rounded Corners 25">
          <a:extLst>
            <a:ext uri="{FF2B5EF4-FFF2-40B4-BE49-F238E27FC236}">
              <a16:creationId xmlns:a16="http://schemas.microsoft.com/office/drawing/2014/main" id="{F275870A-9E55-F400-8D97-3418063C35E4}"/>
            </a:ext>
          </a:extLst>
        </xdr:cNvPr>
        <xdr:cNvSpPr/>
      </xdr:nvSpPr>
      <xdr:spPr>
        <a:xfrm>
          <a:off x="3844972" y="1017632"/>
          <a:ext cx="1798554" cy="1287977"/>
        </a:xfrm>
        <a:prstGeom prst="roundRect">
          <a:avLst>
            <a:gd name="adj" fmla="val 10000"/>
          </a:avLst>
        </a:prstGeom>
        <a:solidFill>
          <a:srgbClr val="B9CDE5">
            <a:alpha val="5490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kern="1200" baseline="0">
            <a:solidFill>
              <a:schemeClr val="tx1"/>
            </a:solidFill>
          </a:endParaRPr>
        </a:p>
      </xdr:txBody>
    </xdr:sp>
    <xdr:clientData/>
  </xdr:twoCellAnchor>
  <xdr:twoCellAnchor>
    <xdr:from>
      <xdr:col>6</xdr:col>
      <xdr:colOff>502675</xdr:colOff>
      <xdr:row>6</xdr:row>
      <xdr:rowOff>69920</xdr:rowOff>
    </xdr:from>
    <xdr:to>
      <xdr:col>8</xdr:col>
      <xdr:colOff>513555</xdr:colOff>
      <xdr:row>8</xdr:row>
      <xdr:rowOff>25922</xdr:rowOff>
    </xdr:to>
    <xdr:sp macro="" textlink="">
      <xdr:nvSpPr>
        <xdr:cNvPr id="27" name="TextBox 26">
          <a:extLst>
            <a:ext uri="{FF2B5EF4-FFF2-40B4-BE49-F238E27FC236}">
              <a16:creationId xmlns:a16="http://schemas.microsoft.com/office/drawing/2014/main" id="{83E122D8-A0E5-6583-41B8-CEEB69F60B6D}"/>
            </a:ext>
          </a:extLst>
        </xdr:cNvPr>
        <xdr:cNvSpPr txBox="1"/>
      </xdr:nvSpPr>
      <xdr:spPr>
        <a:xfrm>
          <a:off x="4183522" y="1232293"/>
          <a:ext cx="1237830" cy="34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Active</a:t>
          </a:r>
          <a:r>
            <a:rPr lang="en-US" sz="1100" b="1" kern="1200" baseline="0"/>
            <a:t> Employee</a:t>
          </a:r>
          <a:endParaRPr lang="en-US" sz="1100" b="1" kern="1200"/>
        </a:p>
      </xdr:txBody>
    </xdr:sp>
    <xdr:clientData/>
  </xdr:twoCellAnchor>
  <xdr:twoCellAnchor>
    <xdr:from>
      <xdr:col>6</xdr:col>
      <xdr:colOff>564506</xdr:colOff>
      <xdr:row>8</xdr:row>
      <xdr:rowOff>161440</xdr:rowOff>
    </xdr:from>
    <xdr:to>
      <xdr:col>8</xdr:col>
      <xdr:colOff>289733</xdr:colOff>
      <xdr:row>10</xdr:row>
      <xdr:rowOff>105578</xdr:rowOff>
    </xdr:to>
    <xdr:sp macro="" textlink="Analysis!C33">
      <xdr:nvSpPr>
        <xdr:cNvPr id="28" name="TextBox 27">
          <a:extLst>
            <a:ext uri="{FF2B5EF4-FFF2-40B4-BE49-F238E27FC236}">
              <a16:creationId xmlns:a16="http://schemas.microsoft.com/office/drawing/2014/main" id="{917A1916-22BB-BEDA-DC50-21EB91D40817}"/>
            </a:ext>
          </a:extLst>
        </xdr:cNvPr>
        <xdr:cNvSpPr txBox="1"/>
      </xdr:nvSpPr>
      <xdr:spPr>
        <a:xfrm>
          <a:off x="4245353" y="1711271"/>
          <a:ext cx="952177" cy="33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F95D57-A41A-4E38-97CB-7A2892F8E8EA}" type="TxLink">
            <a:rPr lang="en-US" sz="2000" b="0" i="0" u="none" strike="noStrike" kern="1200">
              <a:solidFill>
                <a:srgbClr val="000000"/>
              </a:solidFill>
              <a:latin typeface="Calibri"/>
              <a:cs typeface="Calibri"/>
            </a:rPr>
            <a:pPr algn="ctr"/>
            <a:t>117</a:t>
          </a:fld>
          <a:endParaRPr lang="en-US" sz="2000" b="0" kern="1200"/>
        </a:p>
      </xdr:txBody>
    </xdr:sp>
    <xdr:clientData/>
  </xdr:twoCellAnchor>
  <xdr:twoCellAnchor>
    <xdr:from>
      <xdr:col>2</xdr:col>
      <xdr:colOff>506842</xdr:colOff>
      <xdr:row>12</xdr:row>
      <xdr:rowOff>94806</xdr:rowOff>
    </xdr:from>
    <xdr:to>
      <xdr:col>9</xdr:col>
      <xdr:colOff>544287</xdr:colOff>
      <xdr:row>24</xdr:row>
      <xdr:rowOff>115139</xdr:rowOff>
    </xdr:to>
    <xdr:graphicFrame macro="">
      <xdr:nvGraphicFramePr>
        <xdr:cNvPr id="31" name="Chart 30">
          <a:extLst>
            <a:ext uri="{FF2B5EF4-FFF2-40B4-BE49-F238E27FC236}">
              <a16:creationId xmlns:a16="http://schemas.microsoft.com/office/drawing/2014/main" id="{9DEA0BF6-2B5D-41B2-888E-AB3C0709B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488364</xdr:colOff>
      <xdr:row>25</xdr:row>
      <xdr:rowOff>74415</xdr:rowOff>
    </xdr:from>
    <xdr:to>
      <xdr:col>17</xdr:col>
      <xdr:colOff>72632</xdr:colOff>
      <xdr:row>38</xdr:row>
      <xdr:rowOff>129101</xdr:rowOff>
    </xdr:to>
    <xdr:graphicFrame macro="">
      <xdr:nvGraphicFramePr>
        <xdr:cNvPr id="32" name="Chart 31">
          <a:extLst>
            <a:ext uri="{FF2B5EF4-FFF2-40B4-BE49-F238E27FC236}">
              <a16:creationId xmlns:a16="http://schemas.microsoft.com/office/drawing/2014/main" id="{B041543E-3C3D-4433-A9D5-0C6832543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155058</xdr:colOff>
      <xdr:row>25</xdr:row>
      <xdr:rowOff>116957</xdr:rowOff>
    </xdr:from>
    <xdr:to>
      <xdr:col>10</xdr:col>
      <xdr:colOff>99681</xdr:colOff>
      <xdr:row>39</xdr:row>
      <xdr:rowOff>145729</xdr:rowOff>
    </xdr:to>
    <xdr:graphicFrame macro="">
      <xdr:nvGraphicFramePr>
        <xdr:cNvPr id="33" name="Chart 32">
          <a:extLst>
            <a:ext uri="{FF2B5EF4-FFF2-40B4-BE49-F238E27FC236}">
              <a16:creationId xmlns:a16="http://schemas.microsoft.com/office/drawing/2014/main" id="{B7C736DA-2788-48AB-8505-768E6E900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77529</xdr:colOff>
      <xdr:row>13</xdr:row>
      <xdr:rowOff>11076</xdr:rowOff>
    </xdr:from>
    <xdr:to>
      <xdr:col>16</xdr:col>
      <xdr:colOff>487326</xdr:colOff>
      <xdr:row>25</xdr:row>
      <xdr:rowOff>110756</xdr:rowOff>
    </xdr:to>
    <xdr:graphicFrame macro="">
      <xdr:nvGraphicFramePr>
        <xdr:cNvPr id="34" name="Chart 33">
          <a:extLst>
            <a:ext uri="{FF2B5EF4-FFF2-40B4-BE49-F238E27FC236}">
              <a16:creationId xmlns:a16="http://schemas.microsoft.com/office/drawing/2014/main" id="{E2604190-2B9C-462C-96C7-EDE3007AA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343627</xdr:colOff>
      <xdr:row>7</xdr:row>
      <xdr:rowOff>50503</xdr:rowOff>
    </xdr:from>
    <xdr:to>
      <xdr:col>18</xdr:col>
      <xdr:colOff>344957</xdr:colOff>
      <xdr:row>13</xdr:row>
      <xdr:rowOff>110756</xdr:rowOff>
    </xdr:to>
    <mc:AlternateContent xmlns:mc="http://schemas.openxmlformats.org/markup-compatibility/2006" xmlns:a14="http://schemas.microsoft.com/office/drawing/2010/main">
      <mc:Choice Requires="a14">
        <xdr:graphicFrame macro="">
          <xdr:nvGraphicFramePr>
            <xdr:cNvPr id="35" name="Employment Status 1">
              <a:extLst>
                <a:ext uri="{FF2B5EF4-FFF2-40B4-BE49-F238E27FC236}">
                  <a16:creationId xmlns:a16="http://schemas.microsoft.com/office/drawing/2014/main" id="{1C8641EB-4E4D-4C5B-83D5-C9FD98F1158C}"/>
                </a:ext>
              </a:extLst>
            </xdr:cNvPr>
            <xdr:cNvGraphicFramePr/>
          </xdr:nvGraphicFramePr>
          <xdr:xfrm>
            <a:off x="0" y="0"/>
            <a:ext cx="0" cy="0"/>
          </xdr:xfrm>
          <a:graphic>
            <a:graphicData uri="http://schemas.microsoft.com/office/drawing/2010/slicer">
              <sle:slicer xmlns:sle="http://schemas.microsoft.com/office/drawing/2010/slicer" name="Employment Status 1"/>
            </a:graphicData>
          </a:graphic>
        </xdr:graphicFrame>
      </mc:Choice>
      <mc:Fallback xmlns="">
        <xdr:sp macro="" textlink="">
          <xdr:nvSpPr>
            <xdr:cNvPr id="0" name=""/>
            <xdr:cNvSpPr>
              <a:spLocks noTextEdit="1"/>
            </xdr:cNvSpPr>
          </xdr:nvSpPr>
          <xdr:spPr>
            <a:xfrm>
              <a:off x="9435672" y="1384003"/>
              <a:ext cx="1819739" cy="1203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332552</xdr:colOff>
      <xdr:row>0</xdr:row>
      <xdr:rowOff>132904</xdr:rowOff>
    </xdr:from>
    <xdr:to>
      <xdr:col>15</xdr:col>
      <xdr:colOff>333881</xdr:colOff>
      <xdr:row>5</xdr:row>
      <xdr:rowOff>34636</xdr:rowOff>
    </xdr:to>
    <mc:AlternateContent xmlns:mc="http://schemas.openxmlformats.org/markup-compatibility/2006" xmlns:a14="http://schemas.microsoft.com/office/drawing/2010/main">
      <mc:Choice Requires="a14">
        <xdr:graphicFrame macro="">
          <xdr:nvGraphicFramePr>
            <xdr:cNvPr id="38" name="Bonus_Percentage 1">
              <a:extLst>
                <a:ext uri="{FF2B5EF4-FFF2-40B4-BE49-F238E27FC236}">
                  <a16:creationId xmlns:a16="http://schemas.microsoft.com/office/drawing/2014/main" id="{38E2458C-16EC-4013-A4D5-2492B6E52A63}"/>
                </a:ext>
              </a:extLst>
            </xdr:cNvPr>
            <xdr:cNvGraphicFramePr/>
          </xdr:nvGraphicFramePr>
          <xdr:xfrm>
            <a:off x="0" y="0"/>
            <a:ext cx="0" cy="0"/>
          </xdr:xfrm>
          <a:graphic>
            <a:graphicData uri="http://schemas.microsoft.com/office/drawing/2010/slicer">
              <sle:slicer xmlns:sle="http://schemas.microsoft.com/office/drawing/2010/slicer" name="Bonus_Percentage 1"/>
            </a:graphicData>
          </a:graphic>
        </xdr:graphicFrame>
      </mc:Choice>
      <mc:Fallback xmlns="">
        <xdr:sp macro="" textlink="">
          <xdr:nvSpPr>
            <xdr:cNvPr id="0" name=""/>
            <xdr:cNvSpPr>
              <a:spLocks noTextEdit="1"/>
            </xdr:cNvSpPr>
          </xdr:nvSpPr>
          <xdr:spPr>
            <a:xfrm>
              <a:off x="7606188" y="132904"/>
              <a:ext cx="1819738" cy="852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332553</xdr:colOff>
      <xdr:row>0</xdr:row>
      <xdr:rowOff>128033</xdr:rowOff>
    </xdr:from>
    <xdr:to>
      <xdr:col>18</xdr:col>
      <xdr:colOff>333883</xdr:colOff>
      <xdr:row>7</xdr:row>
      <xdr:rowOff>33227</xdr:rowOff>
    </xdr:to>
    <mc:AlternateContent xmlns:mc="http://schemas.openxmlformats.org/markup-compatibility/2006" xmlns:a14="http://schemas.microsoft.com/office/drawing/2010/main">
      <mc:Choice Requires="a14">
        <xdr:graphicFrame macro="">
          <xdr:nvGraphicFramePr>
            <xdr:cNvPr id="39" name="Performance_Band 1">
              <a:extLst>
                <a:ext uri="{FF2B5EF4-FFF2-40B4-BE49-F238E27FC236}">
                  <a16:creationId xmlns:a16="http://schemas.microsoft.com/office/drawing/2014/main" id="{58A9F0AF-8D95-483B-BC2E-B3D7106B8179}"/>
                </a:ext>
              </a:extLst>
            </xdr:cNvPr>
            <xdr:cNvGraphicFramePr/>
          </xdr:nvGraphicFramePr>
          <xdr:xfrm>
            <a:off x="0" y="0"/>
            <a:ext cx="0" cy="0"/>
          </xdr:xfrm>
          <a:graphic>
            <a:graphicData uri="http://schemas.microsoft.com/office/drawing/2010/slicer">
              <sle:slicer xmlns:sle="http://schemas.microsoft.com/office/drawing/2010/slicer" name="Performance_Band 1"/>
            </a:graphicData>
          </a:graphic>
        </xdr:graphicFrame>
      </mc:Choice>
      <mc:Fallback xmlns="">
        <xdr:sp macro="" textlink="">
          <xdr:nvSpPr>
            <xdr:cNvPr id="0" name=""/>
            <xdr:cNvSpPr>
              <a:spLocks noTextEdit="1"/>
            </xdr:cNvSpPr>
          </xdr:nvSpPr>
          <xdr:spPr>
            <a:xfrm>
              <a:off x="9424598" y="128033"/>
              <a:ext cx="1819739" cy="1238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354703</xdr:colOff>
      <xdr:row>13</xdr:row>
      <xdr:rowOff>122414</xdr:rowOff>
    </xdr:from>
    <xdr:to>
      <xdr:col>18</xdr:col>
      <xdr:colOff>356033</xdr:colOff>
      <xdr:row>20</xdr:row>
      <xdr:rowOff>11558</xdr:rowOff>
    </xdr:to>
    <mc:AlternateContent xmlns:mc="http://schemas.openxmlformats.org/markup-compatibility/2006" xmlns:a14="http://schemas.microsoft.com/office/drawing/2010/main">
      <mc:Choice Requires="a14">
        <xdr:graphicFrame macro="">
          <xdr:nvGraphicFramePr>
            <xdr:cNvPr id="40" name="Dept Code 1">
              <a:extLst>
                <a:ext uri="{FF2B5EF4-FFF2-40B4-BE49-F238E27FC236}">
                  <a16:creationId xmlns:a16="http://schemas.microsoft.com/office/drawing/2014/main" id="{0DA050DF-9225-4A3A-932D-06B3711FCE66}"/>
                </a:ext>
              </a:extLst>
            </xdr:cNvPr>
            <xdr:cNvGraphicFramePr/>
          </xdr:nvGraphicFramePr>
          <xdr:xfrm>
            <a:off x="0" y="0"/>
            <a:ext cx="0" cy="0"/>
          </xdr:xfrm>
          <a:graphic>
            <a:graphicData uri="http://schemas.microsoft.com/office/drawing/2010/slicer">
              <sle:slicer xmlns:sle="http://schemas.microsoft.com/office/drawing/2010/slicer" name="Dept Code 1"/>
            </a:graphicData>
          </a:graphic>
        </xdr:graphicFrame>
      </mc:Choice>
      <mc:Fallback xmlns="">
        <xdr:sp macro="" textlink="">
          <xdr:nvSpPr>
            <xdr:cNvPr id="0" name=""/>
            <xdr:cNvSpPr>
              <a:spLocks noTextEdit="1"/>
            </xdr:cNvSpPr>
          </xdr:nvSpPr>
          <xdr:spPr>
            <a:xfrm>
              <a:off x="9446748" y="2598914"/>
              <a:ext cx="1819739" cy="1222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294410</xdr:colOff>
      <xdr:row>4</xdr:row>
      <xdr:rowOff>121226</xdr:rowOff>
    </xdr:from>
    <xdr:to>
      <xdr:col>14</xdr:col>
      <xdr:colOff>225137</xdr:colOff>
      <xdr:row>6</xdr:row>
      <xdr:rowOff>121226</xdr:rowOff>
    </xdr:to>
    <xdr:pic>
      <xdr:nvPicPr>
        <xdr:cNvPr id="8" name="Picture 7">
          <a:extLst>
            <a:ext uri="{FF2B5EF4-FFF2-40B4-BE49-F238E27FC236}">
              <a16:creationId xmlns:a16="http://schemas.microsoft.com/office/drawing/2014/main" id="{724897AF-01DA-1D58-4283-06F0FFB276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74183" y="883226"/>
          <a:ext cx="536863" cy="381000"/>
        </a:xfrm>
        <a:prstGeom prst="rect">
          <a:avLst/>
        </a:prstGeom>
      </xdr:spPr>
    </xdr:pic>
    <xdr:clientData/>
  </xdr:twoCellAnchor>
  <xdr:twoCellAnchor editAs="oneCell">
    <xdr:from>
      <xdr:col>0</xdr:col>
      <xdr:colOff>86591</xdr:colOff>
      <xdr:row>24</xdr:row>
      <xdr:rowOff>103908</xdr:rowOff>
    </xdr:from>
    <xdr:to>
      <xdr:col>1</xdr:col>
      <xdr:colOff>34638</xdr:colOff>
      <xdr:row>26</xdr:row>
      <xdr:rowOff>155863</xdr:rowOff>
    </xdr:to>
    <xdr:pic>
      <xdr:nvPicPr>
        <xdr:cNvPr id="37" name="Picture 36">
          <a:extLst>
            <a:ext uri="{FF2B5EF4-FFF2-40B4-BE49-F238E27FC236}">
              <a16:creationId xmlns:a16="http://schemas.microsoft.com/office/drawing/2014/main" id="{F0365519-1B67-C817-2556-A4FDEFB63F0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6591" y="4675908"/>
          <a:ext cx="554183" cy="432955"/>
        </a:xfrm>
        <a:prstGeom prst="rect">
          <a:avLst/>
        </a:prstGeom>
      </xdr:spPr>
    </xdr:pic>
    <xdr:clientData/>
  </xdr:twoCellAnchor>
  <xdr:twoCellAnchor editAs="oneCell">
    <xdr:from>
      <xdr:col>0</xdr:col>
      <xdr:colOff>103909</xdr:colOff>
      <xdr:row>7</xdr:row>
      <xdr:rowOff>69272</xdr:rowOff>
    </xdr:from>
    <xdr:to>
      <xdr:col>0</xdr:col>
      <xdr:colOff>588818</xdr:colOff>
      <xdr:row>9</xdr:row>
      <xdr:rowOff>173181</xdr:rowOff>
    </xdr:to>
    <xdr:pic>
      <xdr:nvPicPr>
        <xdr:cNvPr id="42" name="Picture 41">
          <a:extLst>
            <a:ext uri="{FF2B5EF4-FFF2-40B4-BE49-F238E27FC236}">
              <a16:creationId xmlns:a16="http://schemas.microsoft.com/office/drawing/2014/main" id="{C947B64C-74B3-0AF7-99A2-BF5E1D9A52E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909" y="1402772"/>
          <a:ext cx="484909" cy="484909"/>
        </a:xfrm>
        <a:prstGeom prst="rect">
          <a:avLst/>
        </a:prstGeom>
      </xdr:spPr>
    </xdr:pic>
    <xdr:clientData/>
  </xdr:twoCellAnchor>
  <xdr:twoCellAnchor editAs="oneCell">
    <xdr:from>
      <xdr:col>1</xdr:col>
      <xdr:colOff>155863</xdr:colOff>
      <xdr:row>0</xdr:row>
      <xdr:rowOff>155864</xdr:rowOff>
    </xdr:from>
    <xdr:to>
      <xdr:col>2</xdr:col>
      <xdr:colOff>294409</xdr:colOff>
      <xdr:row>4</xdr:row>
      <xdr:rowOff>69273</xdr:rowOff>
    </xdr:to>
    <xdr:pic>
      <xdr:nvPicPr>
        <xdr:cNvPr id="44" name="Picture 43">
          <a:extLst>
            <a:ext uri="{FF2B5EF4-FFF2-40B4-BE49-F238E27FC236}">
              <a16:creationId xmlns:a16="http://schemas.microsoft.com/office/drawing/2014/main" id="{E02A23B0-ACCA-CE45-408D-2FFC2C0856D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61999" y="155864"/>
          <a:ext cx="744683" cy="675409"/>
        </a:xfrm>
        <a:prstGeom prst="rect">
          <a:avLst/>
        </a:prstGeom>
      </xdr:spPr>
    </xdr:pic>
    <xdr:clientData/>
  </xdr:twoCellAnchor>
  <xdr:twoCellAnchor editAs="oneCell">
    <xdr:from>
      <xdr:col>7</xdr:col>
      <xdr:colOff>173181</xdr:colOff>
      <xdr:row>4</xdr:row>
      <xdr:rowOff>69272</xdr:rowOff>
    </xdr:from>
    <xdr:to>
      <xdr:col>8</xdr:col>
      <xdr:colOff>173182</xdr:colOff>
      <xdr:row>6</xdr:row>
      <xdr:rowOff>155863</xdr:rowOff>
    </xdr:to>
    <xdr:pic>
      <xdr:nvPicPr>
        <xdr:cNvPr id="46" name="Picture 45">
          <a:extLst>
            <a:ext uri="{FF2B5EF4-FFF2-40B4-BE49-F238E27FC236}">
              <a16:creationId xmlns:a16="http://schemas.microsoft.com/office/drawing/2014/main" id="{F209857F-0F8B-5946-18F4-7897840AECF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16136" y="831272"/>
          <a:ext cx="588819" cy="467591"/>
        </a:xfrm>
        <a:prstGeom prst="rect">
          <a:avLst/>
        </a:prstGeom>
      </xdr:spPr>
    </xdr:pic>
    <xdr:clientData/>
  </xdr:twoCellAnchor>
  <xdr:twoCellAnchor editAs="oneCell">
    <xdr:from>
      <xdr:col>0</xdr:col>
      <xdr:colOff>86592</xdr:colOff>
      <xdr:row>18</xdr:row>
      <xdr:rowOff>86592</xdr:rowOff>
    </xdr:from>
    <xdr:to>
      <xdr:col>0</xdr:col>
      <xdr:colOff>519546</xdr:colOff>
      <xdr:row>20</xdr:row>
      <xdr:rowOff>173182</xdr:rowOff>
    </xdr:to>
    <xdr:pic>
      <xdr:nvPicPr>
        <xdr:cNvPr id="48" name="Picture 47">
          <a:extLst>
            <a:ext uri="{FF2B5EF4-FFF2-40B4-BE49-F238E27FC236}">
              <a16:creationId xmlns:a16="http://schemas.microsoft.com/office/drawing/2014/main" id="{5FB3321E-1825-7DA8-CDA2-046CB29AE01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592" y="3515592"/>
          <a:ext cx="432954" cy="467590"/>
        </a:xfrm>
        <a:prstGeom prst="rect">
          <a:avLst/>
        </a:prstGeom>
      </xdr:spPr>
    </xdr:pic>
    <xdr:clientData/>
  </xdr:twoCellAnchor>
  <xdr:twoCellAnchor editAs="oneCell">
    <xdr:from>
      <xdr:col>0</xdr:col>
      <xdr:colOff>0</xdr:colOff>
      <xdr:row>12</xdr:row>
      <xdr:rowOff>173184</xdr:rowOff>
    </xdr:from>
    <xdr:to>
      <xdr:col>0</xdr:col>
      <xdr:colOff>502228</xdr:colOff>
      <xdr:row>15</xdr:row>
      <xdr:rowOff>56285</xdr:rowOff>
    </xdr:to>
    <xdr:pic>
      <xdr:nvPicPr>
        <xdr:cNvPr id="54" name="Picture 53">
          <a:extLst>
            <a:ext uri="{FF2B5EF4-FFF2-40B4-BE49-F238E27FC236}">
              <a16:creationId xmlns:a16="http://schemas.microsoft.com/office/drawing/2014/main" id="{403D73FD-FA9E-B5E9-1F85-F3D5ACB32CA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2459184"/>
          <a:ext cx="502228" cy="454601"/>
        </a:xfrm>
        <a:prstGeom prst="rect">
          <a:avLst/>
        </a:prstGeom>
      </xdr:spPr>
    </xdr:pic>
    <xdr:clientData/>
  </xdr:twoCellAnchor>
  <xdr:twoCellAnchor editAs="oneCell">
    <xdr:from>
      <xdr:col>10</xdr:col>
      <xdr:colOff>259773</xdr:colOff>
      <xdr:row>3</xdr:row>
      <xdr:rowOff>190499</xdr:rowOff>
    </xdr:from>
    <xdr:to>
      <xdr:col>11</xdr:col>
      <xdr:colOff>190499</xdr:colOff>
      <xdr:row>6</xdr:row>
      <xdr:rowOff>69274</xdr:rowOff>
    </xdr:to>
    <xdr:pic>
      <xdr:nvPicPr>
        <xdr:cNvPr id="56" name="Picture 55">
          <a:extLst>
            <a:ext uri="{FF2B5EF4-FFF2-40B4-BE49-F238E27FC236}">
              <a16:creationId xmlns:a16="http://schemas.microsoft.com/office/drawing/2014/main" id="{4ABEB1AA-2AD5-0FF6-121E-04D339B290F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303818" y="761999"/>
          <a:ext cx="536863" cy="450275"/>
        </a:xfrm>
        <a:prstGeom prst="rect">
          <a:avLst/>
        </a:prstGeom>
      </xdr:spPr>
    </xdr:pic>
    <xdr:clientData/>
  </xdr:twoCellAnchor>
  <xdr:twoCellAnchor editAs="oneCell">
    <xdr:from>
      <xdr:col>4</xdr:col>
      <xdr:colOff>69272</xdr:colOff>
      <xdr:row>4</xdr:row>
      <xdr:rowOff>103909</xdr:rowOff>
    </xdr:from>
    <xdr:to>
      <xdr:col>5</xdr:col>
      <xdr:colOff>34636</xdr:colOff>
      <xdr:row>6</xdr:row>
      <xdr:rowOff>155864</xdr:rowOff>
    </xdr:to>
    <xdr:pic>
      <xdr:nvPicPr>
        <xdr:cNvPr id="58" name="Picture 57">
          <a:extLst>
            <a:ext uri="{FF2B5EF4-FFF2-40B4-BE49-F238E27FC236}">
              <a16:creationId xmlns:a16="http://schemas.microsoft.com/office/drawing/2014/main" id="{B021382D-5ED6-EE0B-F4D3-F6B92D5D1D1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493817" y="865909"/>
          <a:ext cx="571501" cy="432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304800</xdr:colOff>
      <xdr:row>17</xdr:row>
      <xdr:rowOff>76200</xdr:rowOff>
    </xdr:to>
    <xdr:graphicFrame macro="">
      <xdr:nvGraphicFramePr>
        <xdr:cNvPr id="2" name="Chart 1">
          <a:extLst>
            <a:ext uri="{FF2B5EF4-FFF2-40B4-BE49-F238E27FC236}">
              <a16:creationId xmlns:a16="http://schemas.microsoft.com/office/drawing/2014/main" id="{D83B3DB0-93CB-441F-A225-A99408A50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7</xdr:col>
      <xdr:colOff>304800</xdr:colOff>
      <xdr:row>35</xdr:row>
      <xdr:rowOff>76200</xdr:rowOff>
    </xdr:to>
    <xdr:graphicFrame macro="">
      <xdr:nvGraphicFramePr>
        <xdr:cNvPr id="4" name="Chart 3">
          <a:extLst>
            <a:ext uri="{FF2B5EF4-FFF2-40B4-BE49-F238E27FC236}">
              <a16:creationId xmlns:a16="http://schemas.microsoft.com/office/drawing/2014/main" id="{8BAAB07E-6F33-4124-900A-0FA83A0D4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20</xdr:row>
      <xdr:rowOff>152400</xdr:rowOff>
    </xdr:from>
    <xdr:to>
      <xdr:col>16</xdr:col>
      <xdr:colOff>323850</xdr:colOff>
      <xdr:row>35</xdr:row>
      <xdr:rowOff>38100</xdr:rowOff>
    </xdr:to>
    <xdr:graphicFrame macro="">
      <xdr:nvGraphicFramePr>
        <xdr:cNvPr id="6" name="Chart 5">
          <a:extLst>
            <a:ext uri="{FF2B5EF4-FFF2-40B4-BE49-F238E27FC236}">
              <a16:creationId xmlns:a16="http://schemas.microsoft.com/office/drawing/2014/main" id="{B43C3DF0-0E5B-4A16-BE08-2186EB74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282522</xdr:colOff>
      <xdr:row>37</xdr:row>
      <xdr:rowOff>145297</xdr:rowOff>
    </xdr:from>
    <xdr:to>
      <xdr:col>8</xdr:col>
      <xdr:colOff>37623</xdr:colOff>
      <xdr:row>52</xdr:row>
      <xdr:rowOff>85746</xdr:rowOff>
    </xdr:to>
    <xdr:graphicFrame macro="">
      <xdr:nvGraphicFramePr>
        <xdr:cNvPr id="5" name="Chart 4">
          <a:extLst>
            <a:ext uri="{FF2B5EF4-FFF2-40B4-BE49-F238E27FC236}">
              <a16:creationId xmlns:a16="http://schemas.microsoft.com/office/drawing/2014/main" id="{43E3E3A8-8274-4970-B05D-B794BB8C0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38</xdr:row>
      <xdr:rowOff>0</xdr:rowOff>
    </xdr:from>
    <xdr:to>
      <xdr:col>17</xdr:col>
      <xdr:colOff>277678</xdr:colOff>
      <xdr:row>52</xdr:row>
      <xdr:rowOff>30997</xdr:rowOff>
    </xdr:to>
    <xdr:graphicFrame macro="">
      <xdr:nvGraphicFramePr>
        <xdr:cNvPr id="7" name="Chart 6">
          <a:extLst>
            <a:ext uri="{FF2B5EF4-FFF2-40B4-BE49-F238E27FC236}">
              <a16:creationId xmlns:a16="http://schemas.microsoft.com/office/drawing/2014/main" id="{400AF7D4-786E-4572-8D7F-3C32963FF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13049</xdr:colOff>
      <xdr:row>3</xdr:row>
      <xdr:rowOff>65239</xdr:rowOff>
    </xdr:from>
    <xdr:to>
      <xdr:col>17</xdr:col>
      <xdr:colOff>278956</xdr:colOff>
      <xdr:row>17</xdr:row>
      <xdr:rowOff>33032</xdr:rowOff>
    </xdr:to>
    <xdr:graphicFrame macro="">
      <xdr:nvGraphicFramePr>
        <xdr:cNvPr id="8" name="Chart 7">
          <a:extLst>
            <a:ext uri="{FF2B5EF4-FFF2-40B4-BE49-F238E27FC236}">
              <a16:creationId xmlns:a16="http://schemas.microsoft.com/office/drawing/2014/main" id="{499550B9-FDDD-43C8-A2D1-B28E8D316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3</xdr:row>
      <xdr:rowOff>0</xdr:rowOff>
    </xdr:from>
    <xdr:to>
      <xdr:col>26</xdr:col>
      <xdr:colOff>279226</xdr:colOff>
      <xdr:row>17</xdr:row>
      <xdr:rowOff>3132</xdr:rowOff>
    </xdr:to>
    <xdr:graphicFrame macro="">
      <xdr:nvGraphicFramePr>
        <xdr:cNvPr id="9" name="Chart 8">
          <a:extLst>
            <a:ext uri="{FF2B5EF4-FFF2-40B4-BE49-F238E27FC236}">
              <a16:creationId xmlns:a16="http://schemas.microsoft.com/office/drawing/2014/main" id="{E8A5E5EB-A8D9-4203-A543-3732C2A5D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526274</xdr:colOff>
      <xdr:row>22</xdr:row>
      <xdr:rowOff>87324</xdr:rowOff>
    </xdr:from>
    <xdr:to>
      <xdr:col>26</xdr:col>
      <xdr:colOff>189269</xdr:colOff>
      <xdr:row>36</xdr:row>
      <xdr:rowOff>106169</xdr:rowOff>
    </xdr:to>
    <xdr:graphicFrame macro="">
      <xdr:nvGraphicFramePr>
        <xdr:cNvPr id="10" name="Chart 9">
          <a:extLst>
            <a:ext uri="{FF2B5EF4-FFF2-40B4-BE49-F238E27FC236}">
              <a16:creationId xmlns:a16="http://schemas.microsoft.com/office/drawing/2014/main" id="{F4B7C605-8307-4B23-A064-A516C78A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7.525692476855" createdVersion="8" refreshedVersion="8" minRefreshableVersion="3" recordCount="150" xr:uid="{EC2D19F3-3077-4BAB-B359-311DDB1D50B2}">
  <cacheSource type="worksheet">
    <worksheetSource name="Table1"/>
  </cacheSource>
  <cacheFields count="12">
    <cacheField name="Emp ID" numFmtId="0">
      <sharedItems count="150">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sharedItems>
    </cacheField>
    <cacheField name="Names" numFmtId="0">
      <sharedItems count="106">
        <s v="Emily Brown"/>
        <s v="Richard Hernandez"/>
        <s v="Emily Gonzalez"/>
        <s v="John Martinez"/>
        <s v="Thomas Smith"/>
        <s v="Emily Johnson"/>
        <s v="John Wilson"/>
        <s v="Jessica Smith"/>
        <s v=" Rodriguez"/>
        <s v="Michael Martinez"/>
        <s v="Emily Miller"/>
        <s v="Emily Hernandez"/>
        <s v="Jane Williams"/>
        <s v="Jane Miller"/>
        <s v="Robert Jones"/>
        <s v="Thomas Rodriguez"/>
        <s v="Emily Davis"/>
        <s v="James Martinez"/>
        <s v="Ashley Lopez"/>
        <s v="Amanda Gonzalez"/>
        <s v="Michael Hernandez"/>
        <s v="Michael Rodriguez"/>
        <s v="Jessica Johnson"/>
        <s v="Ashley Williams"/>
        <s v=" Williams"/>
        <s v="Michael Wilson"/>
        <s v="John Rodriguez"/>
        <s v="Thomas Hernandez"/>
        <s v="Michael Johnson"/>
        <s v="Sarah Brown"/>
        <s v="Jane Martinez"/>
        <s v="Emily Jones"/>
        <s v=" Brown"/>
        <s v="Melissa Brown"/>
        <s v="Michael Smith"/>
        <s v="Sarah Miller"/>
        <s v="Emily Wilson"/>
        <s v="David Hernandez"/>
        <s v="James Smith"/>
        <s v="Sarah Williams"/>
        <s v="Amanda Lopez"/>
        <s v="Thomas Lopez"/>
        <s v="Melissa Johnson"/>
        <s v="Amanda Johnson"/>
        <s v="John Davis"/>
        <s v="James Johnson"/>
        <s v="Jane Davis"/>
        <s v="Richard Davis"/>
        <s v="Emily Garcia"/>
        <s v="Jane Anderson"/>
        <s v="Thomas Garcia"/>
        <s v="David Martinez"/>
        <s v="Michael Anderson"/>
        <s v="Robert Johnson"/>
        <s v="Robert Miller"/>
        <s v="Thomas Davis"/>
        <s v="Thomas Jones"/>
        <s v="Michael Miller"/>
        <s v="Richard Gonzalez"/>
        <s v="Melissa Williams"/>
        <s v="William Garcia"/>
        <s v="John Gonzalez"/>
        <s v="James Gonzalez"/>
        <s v="Jane Gonzalez"/>
        <s v="David Wilson"/>
        <s v="Jane Rodriguez"/>
        <s v="Jessica Garcia"/>
        <s v="Richard Smith"/>
        <s v="Melissa Wilson"/>
        <s v="Thomas Williams"/>
        <s v="David Williams"/>
        <s v="John Johnson"/>
        <s v="Melissa Anderson"/>
        <s v="William Gonzalez"/>
        <s v="Jessica Anderson"/>
        <s v="Thomas Miller"/>
        <s v=" Smith"/>
        <s v="Jane Johnson"/>
        <s v="John Jones"/>
        <s v="Jane Lopez"/>
        <s v="Melissa Gonzalez"/>
        <s v="William Davis"/>
        <s v="John Smith"/>
        <s v="William Williams"/>
        <s v="James Jones"/>
        <s v="Jessica Gonzalez"/>
        <s v="Amanda Brown"/>
        <s v="Robert Martinez"/>
        <s v="David Rodriguez"/>
        <s v="James Rodriguez"/>
        <s v="Sarah Rodriguez"/>
        <s v="Sarah Wilson"/>
        <s v="Robert Williams"/>
        <s v="Melissa Rodriguez"/>
        <s v="William Jones"/>
        <s v="David Anderson"/>
        <s v="Sarah Smith"/>
        <s v="Melissa Hernandez"/>
        <s v="Jane Garcia"/>
        <s v="David Davis"/>
        <s v="James Wilson"/>
        <s v="Richard Johnson"/>
        <s v="Richard Williams"/>
        <s v="John Hernandez"/>
        <s v="Sarah Gonzalez"/>
        <s v=" Jones"/>
      </sharedItems>
    </cacheField>
    <cacheField name="Dept Code" numFmtId="0">
      <sharedItems count="6">
        <s v="IT02"/>
        <s v="MKT04"/>
        <s v="FIN03"/>
        <s v="OPS06"/>
        <s v="SAL05"/>
        <s v="HR01"/>
      </sharedItems>
    </cacheField>
    <cacheField name="Department_Name" numFmtId="0">
      <sharedItems count="6">
        <s v="Information Technology"/>
        <s v="Marketing"/>
        <s v="Finance"/>
        <s v="Operations"/>
        <s v="Sales"/>
        <s v="Human Resources"/>
      </sharedItems>
    </cacheField>
    <cacheField name="Hire Date" numFmtId="165">
      <sharedItems containsSemiMixedTypes="0" containsNonDate="0" containsDate="1" containsString="0" minDate="2015-01-04T00:00:00" maxDate="2023-12-13T00:00:00" count="145">
        <d v="2017-12-24T00:00:00"/>
        <d v="2022-04-08T00:00:00"/>
        <d v="2016-03-02T00:00:00"/>
        <d v="2023-07-03T00:00:00"/>
        <d v="2023-02-20T00:00:00"/>
        <d v="2020-03-02T00:00:00"/>
        <d v="2023-12-12T00:00:00"/>
        <d v="2020-12-09T00:00:00"/>
        <d v="2018-01-07T00:00:00"/>
        <d v="2016-11-02T00:00:00"/>
        <d v="2020-03-21T00:00:00"/>
        <d v="2016-02-25T00:00:00"/>
        <d v="2021-06-17T00:00:00"/>
        <d v="2020-06-19T00:00:00"/>
        <d v="2019-12-21T00:00:00"/>
        <d v="2023-08-31T00:00:00"/>
        <d v="2015-11-29T00:00:00"/>
        <d v="2017-06-13T00:00:00"/>
        <d v="2018-05-15T00:00:00"/>
        <d v="2016-07-24T00:00:00"/>
        <d v="2017-12-07T00:00:00"/>
        <d v="2021-06-06T00:00:00"/>
        <d v="2022-09-11T00:00:00"/>
        <d v="2016-07-14T00:00:00"/>
        <d v="2022-06-16T00:00:00"/>
        <d v="2023-07-27T00:00:00"/>
        <d v="2019-09-24T00:00:00"/>
        <d v="2022-07-23T00:00:00"/>
        <d v="2018-05-13T00:00:00"/>
        <d v="2015-07-17T00:00:00"/>
        <d v="2015-08-05T00:00:00"/>
        <d v="2023-09-26T00:00:00"/>
        <d v="2019-06-10T00:00:00"/>
        <d v="2022-01-17T00:00:00"/>
        <d v="2017-07-03T00:00:00"/>
        <d v="2015-09-01T00:00:00"/>
        <d v="2022-08-03T00:00:00"/>
        <d v="2022-06-29T00:00:00"/>
        <d v="2020-04-28T00:00:00"/>
        <d v="2017-09-09T00:00:00"/>
        <d v="2018-03-22T00:00:00"/>
        <d v="2020-05-07T00:00:00"/>
        <d v="2019-03-25T00:00:00"/>
        <d v="2019-08-09T00:00:00"/>
        <d v="2016-10-04T00:00:00"/>
        <d v="2019-07-10T00:00:00"/>
        <d v="2021-08-29T00:00:00"/>
        <d v="2017-01-26T00:00:00"/>
        <d v="2020-05-30T00:00:00"/>
        <d v="2022-02-20T00:00:00"/>
        <d v="2016-09-15T00:00:00"/>
        <d v="2018-12-30T00:00:00"/>
        <d v="2020-12-24T00:00:00"/>
        <d v="2023-07-05T00:00:00"/>
        <d v="2020-11-13T00:00:00"/>
        <d v="2018-07-02T00:00:00"/>
        <d v="2023-11-25T00:00:00"/>
        <d v="2023-10-18T00:00:00"/>
        <d v="2020-09-05T00:00:00"/>
        <d v="2017-03-06T00:00:00"/>
        <d v="2015-04-28T00:00:00"/>
        <d v="2017-04-13T00:00:00"/>
        <d v="2022-09-23T00:00:00"/>
        <d v="2016-11-11T00:00:00"/>
        <d v="2017-03-24T00:00:00"/>
        <d v="2019-05-05T00:00:00"/>
        <d v="2021-07-25T00:00:00"/>
        <d v="2017-09-30T00:00:00"/>
        <d v="2015-07-07T00:00:00"/>
        <d v="2022-09-15T00:00:00"/>
        <d v="2015-09-02T00:00:00"/>
        <d v="2016-10-11T00:00:00"/>
        <d v="2019-04-20T00:00:00"/>
        <d v="2017-02-19T00:00:00"/>
        <d v="2021-07-09T00:00:00"/>
        <d v="2019-05-14T00:00:00"/>
        <d v="2015-11-22T00:00:00"/>
        <d v="2018-09-29T00:00:00"/>
        <d v="2023-09-02T00:00:00"/>
        <d v="2022-07-17T00:00:00"/>
        <d v="2021-02-07T00:00:00"/>
        <d v="2023-04-10T00:00:00"/>
        <d v="2020-08-30T00:00:00"/>
        <d v="2021-08-14T00:00:00"/>
        <d v="2019-11-27T00:00:00"/>
        <d v="2017-05-25T00:00:00"/>
        <d v="2018-12-02T00:00:00"/>
        <d v="2019-06-23T00:00:00"/>
        <d v="2015-10-27T00:00:00"/>
        <d v="2018-06-19T00:00:00"/>
        <d v="2018-01-12T00:00:00"/>
        <d v="2015-01-04T00:00:00"/>
        <d v="2018-12-05T00:00:00"/>
        <d v="2021-10-13T00:00:00"/>
        <d v="2020-09-07T00:00:00"/>
        <d v="2019-08-03T00:00:00"/>
        <d v="2015-03-11T00:00:00"/>
        <d v="2023-05-09T00:00:00"/>
        <d v="2018-01-22T00:00:00"/>
        <d v="2020-02-18T00:00:00"/>
        <d v="2016-05-22T00:00:00"/>
        <d v="2021-06-02T00:00:00"/>
        <d v="2021-07-17T00:00:00"/>
        <d v="2016-11-13T00:00:00"/>
        <d v="2019-02-17T00:00:00"/>
        <d v="2016-09-12T00:00:00"/>
        <d v="2021-08-13T00:00:00"/>
        <d v="2020-06-14T00:00:00"/>
        <d v="2022-07-05T00:00:00"/>
        <d v="2016-10-07T00:00:00"/>
        <d v="2022-04-23T00:00:00"/>
        <d v="2017-10-05T00:00:00"/>
        <d v="2020-05-20T00:00:00"/>
        <d v="2023-04-20T00:00:00"/>
        <d v="2021-10-31T00:00:00"/>
        <d v="2021-10-24T00:00:00"/>
        <d v="2017-08-09T00:00:00"/>
        <d v="2023-01-04T00:00:00"/>
        <d v="2020-08-10T00:00:00"/>
        <d v="2022-04-02T00:00:00"/>
        <d v="2018-03-24T00:00:00"/>
        <d v="2018-07-24T00:00:00"/>
        <d v="2018-07-20T00:00:00"/>
        <d v="2016-03-04T00:00:00"/>
        <d v="2022-03-23T00:00:00"/>
        <d v="2017-07-28T00:00:00"/>
        <d v="2023-11-05T00:00:00"/>
        <d v="2022-03-19T00:00:00"/>
        <d v="2017-12-22T00:00:00"/>
        <d v="2018-09-17T00:00:00"/>
        <d v="2021-06-28T00:00:00"/>
        <d v="2017-10-03T00:00:00"/>
        <d v="2015-10-22T00:00:00"/>
        <d v="2018-06-06T00:00:00"/>
        <d v="2017-07-16T00:00:00"/>
        <d v="2015-06-20T00:00:00"/>
        <d v="2019-05-24T00:00:00"/>
        <d v="2020-02-26T00:00:00"/>
        <d v="2023-03-06T00:00:00"/>
        <d v="2019-12-01T00:00:00"/>
        <d v="2023-04-21T00:00:00"/>
        <d v="2016-05-29T00:00:00"/>
        <d v="2022-05-30T00:00:00"/>
        <d v="2016-11-03T00:00:00"/>
        <d v="2022-10-14T00:00:00"/>
      </sharedItems>
    </cacheField>
    <cacheField name="Years of Service" numFmtId="1">
      <sharedItems containsSemiMixedTypes="0" containsString="0" containsNumber="1" minValue="2.5611111111111109" maxValue="11.5"/>
    </cacheField>
    <cacheField name="Salary" numFmtId="166">
      <sharedItems containsSemiMixedTypes="0" containsString="0" containsNumber="1" containsInteger="1" minValue="45196" maxValue="118947"/>
    </cacheField>
    <cacheField name="Perf_Score" numFmtId="0">
      <sharedItems containsSemiMixedTypes="0" containsString="0" containsNumber="1" containsInteger="1" minValue="30" maxValue="99"/>
    </cacheField>
    <cacheField name="Performance_Band" numFmtId="0">
      <sharedItems count="5">
        <s v="Developing"/>
        <s v="Achieving"/>
        <s v="Needs Improvement"/>
        <s v="Exceeding"/>
        <s v="Outstanding"/>
      </sharedItems>
    </cacheField>
    <cacheField name="Bonus_Percentage" numFmtId="9">
      <sharedItems containsSemiMixedTypes="0" containsString="0" containsNumber="1" minValue="0" maxValue="0.12" count="5">
        <n v="0.02"/>
        <n v="0.05"/>
        <n v="0"/>
        <n v="0.08"/>
        <n v="0.12"/>
      </sharedItems>
    </cacheField>
    <cacheField name="Employment Status" numFmtId="0">
      <sharedItems count="3">
        <s v="Active"/>
        <s v="Left"/>
        <s v="Resigned"/>
      </sharedItems>
    </cacheField>
    <cacheField name="Bonus Amount" numFmtId="166">
      <sharedItems containsSemiMixedTypes="0" containsString="0" containsNumber="1" minValue="0" maxValue="14273.64" count="111">
        <n v="1007.22"/>
        <n v="2253.46"/>
        <n v="2288.5"/>
        <n v="5191.55"/>
        <n v="0"/>
        <n v="2999"/>
        <n v="5106.9500000000007"/>
        <n v="1899.96"/>
        <n v="1538.3600000000001"/>
        <n v="1999.8"/>
        <n v="1607.7"/>
        <n v="3264.5"/>
        <n v="5918.72"/>
        <n v="4180.2"/>
        <n v="2370.54"/>
        <n v="8629.68"/>
        <n v="1879.1200000000001"/>
        <n v="2017.02"/>
        <n v="1624.1000000000001"/>
        <n v="6208.8"/>
        <n v="4069.84"/>
        <n v="1706.24"/>
        <n v="1672.08"/>
        <n v="4852.75"/>
        <n v="3303.4500000000003"/>
        <n v="1803.14"/>
        <n v="2994.9500000000003"/>
        <n v="2053.8200000000002"/>
        <n v="13421.4"/>
        <n v="5537.52"/>
        <n v="1150.28"/>
        <n v="4312.25"/>
        <n v="1048.1400000000001"/>
        <n v="5328.4800000000005"/>
        <n v="4094.8"/>
        <n v="1568.04"/>
        <n v="5274.9000000000005"/>
        <n v="4587.45"/>
        <n v="4996.75"/>
        <n v="1500.46"/>
        <n v="1865.8"/>
        <n v="2310.54"/>
        <n v="2796"/>
        <n v="14273.64"/>
        <n v="10998.6"/>
        <n v="988.7"/>
        <n v="8830.48"/>
        <n v="5064.16"/>
        <n v="1510.38"/>
        <n v="5194.55"/>
        <n v="6112.32"/>
        <n v="2224.8000000000002"/>
        <n v="4125.3599999999997"/>
        <n v="4421.6000000000004"/>
        <n v="7828.2"/>
        <n v="2259.8000000000002"/>
        <n v="1724.92"/>
        <n v="3517.9500000000003"/>
        <n v="6688.32"/>
        <n v="1729.6000000000001"/>
        <n v="2384.7000000000003"/>
        <n v="4186.2"/>
        <n v="1965.98"/>
        <n v="2614.3500000000004"/>
        <n v="9915.9599999999991"/>
        <n v="6898.56"/>
        <n v="5494.64"/>
        <n v="1678.64"/>
        <n v="2803.65"/>
        <n v="1761.1200000000001"/>
        <n v="3370.7000000000003"/>
        <n v="2305.7600000000002"/>
        <n v="1602.8"/>
        <n v="1461.74"/>
        <n v="5087.5"/>
        <n v="4149.6000000000004"/>
        <n v="998.84"/>
        <n v="1781.2"/>
        <n v="6454.32"/>
        <n v="1623.3400000000001"/>
        <n v="7333.76"/>
        <n v="3886.8500000000004"/>
        <n v="7654.88"/>
        <n v="5456.05"/>
        <n v="9023.2800000000007"/>
        <n v="5900.4000000000005"/>
        <n v="3718.5"/>
        <n v="3890.9500000000003"/>
        <n v="2437.4"/>
        <n v="5763"/>
        <n v="3031.15"/>
        <n v="5447.36"/>
        <n v="1763.1000000000001"/>
        <n v="5566.8"/>
        <n v="8953.6"/>
        <n v="8849.44"/>
        <n v="5419.75"/>
        <n v="1760.1000000000001"/>
        <n v="4150.3500000000004"/>
        <n v="1230.94"/>
        <n v="4031.92"/>
        <n v="1054.4000000000001"/>
        <n v="7807.7999999999993"/>
        <n v="2162.38"/>
        <n v="10032.48"/>
        <n v="2137.92"/>
        <n v="2257.7400000000002"/>
        <n v="4272.8500000000004"/>
        <n v="2389.7000000000003"/>
        <n v="4654.7"/>
        <n v="9490.7199999999993"/>
      </sharedItems>
    </cacheField>
  </cacheFields>
  <extLst>
    <ext xmlns:x14="http://schemas.microsoft.com/office/spreadsheetml/2009/9/main" uri="{725AE2AE-9491-48be-B2B4-4EB974FC3084}">
      <x14:pivotCacheDefinition pivotCacheId="403177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n v="8.5277777777777786"/>
    <n v="50361"/>
    <n v="52"/>
    <x v="0"/>
    <x v="0"/>
    <x v="0"/>
    <x v="0"/>
  </r>
  <r>
    <x v="1"/>
    <x v="1"/>
    <x v="1"/>
    <x v="1"/>
    <x v="1"/>
    <n v="4.2388888888888889"/>
    <n v="112673"/>
    <n v="68"/>
    <x v="0"/>
    <x v="0"/>
    <x v="0"/>
    <x v="1"/>
  </r>
  <r>
    <x v="2"/>
    <x v="2"/>
    <x v="0"/>
    <x v="0"/>
    <x v="2"/>
    <n v="10.338888888888889"/>
    <n v="114425"/>
    <n v="54"/>
    <x v="0"/>
    <x v="0"/>
    <x v="1"/>
    <x v="2"/>
  </r>
  <r>
    <x v="3"/>
    <x v="3"/>
    <x v="2"/>
    <x v="2"/>
    <x v="3"/>
    <n v="3.0027777777777778"/>
    <n v="103831"/>
    <n v="70"/>
    <x v="1"/>
    <x v="1"/>
    <x v="0"/>
    <x v="3"/>
  </r>
  <r>
    <x v="4"/>
    <x v="4"/>
    <x v="0"/>
    <x v="0"/>
    <x v="4"/>
    <n v="3.3722222222222222"/>
    <n v="73785"/>
    <n v="40"/>
    <x v="2"/>
    <x v="2"/>
    <x v="1"/>
    <x v="4"/>
  </r>
  <r>
    <x v="5"/>
    <x v="5"/>
    <x v="3"/>
    <x v="3"/>
    <x v="5"/>
    <n v="6.3388888888888886"/>
    <n v="115882"/>
    <n v="49"/>
    <x v="2"/>
    <x v="2"/>
    <x v="0"/>
    <x v="4"/>
  </r>
  <r>
    <x v="6"/>
    <x v="6"/>
    <x v="3"/>
    <x v="3"/>
    <x v="6"/>
    <n v="2.5611111111111109"/>
    <n v="59980"/>
    <n v="70"/>
    <x v="1"/>
    <x v="1"/>
    <x v="1"/>
    <x v="5"/>
  </r>
  <r>
    <x v="7"/>
    <x v="7"/>
    <x v="3"/>
    <x v="3"/>
    <x v="7"/>
    <n v="5.5694444444444446"/>
    <n v="68728"/>
    <n v="45"/>
    <x v="2"/>
    <x v="2"/>
    <x v="0"/>
    <x v="4"/>
  </r>
  <r>
    <x v="8"/>
    <x v="8"/>
    <x v="2"/>
    <x v="2"/>
    <x v="8"/>
    <n v="8.4916666666666671"/>
    <n v="102139"/>
    <n v="79"/>
    <x v="1"/>
    <x v="1"/>
    <x v="0"/>
    <x v="6"/>
  </r>
  <r>
    <x v="9"/>
    <x v="9"/>
    <x v="4"/>
    <x v="4"/>
    <x v="9"/>
    <n v="9.6722222222222225"/>
    <n v="94998"/>
    <n v="58"/>
    <x v="0"/>
    <x v="0"/>
    <x v="0"/>
    <x v="7"/>
  </r>
  <r>
    <x v="10"/>
    <x v="10"/>
    <x v="4"/>
    <x v="4"/>
    <x v="10"/>
    <n v="6.2861111111111114"/>
    <n v="118635"/>
    <n v="49"/>
    <x v="2"/>
    <x v="2"/>
    <x v="0"/>
    <x v="4"/>
  </r>
  <r>
    <x v="11"/>
    <x v="11"/>
    <x v="0"/>
    <x v="0"/>
    <x v="11"/>
    <n v="10.358333333333333"/>
    <n v="76918"/>
    <n v="62"/>
    <x v="0"/>
    <x v="0"/>
    <x v="0"/>
    <x v="8"/>
  </r>
  <r>
    <x v="12"/>
    <x v="12"/>
    <x v="1"/>
    <x v="1"/>
    <x v="12"/>
    <n v="5.0472222222222225"/>
    <n v="61408"/>
    <n v="48"/>
    <x v="2"/>
    <x v="2"/>
    <x v="0"/>
    <x v="4"/>
  </r>
  <r>
    <x v="13"/>
    <x v="13"/>
    <x v="1"/>
    <x v="1"/>
    <x v="13"/>
    <n v="6.041666666666667"/>
    <n v="99990"/>
    <n v="54"/>
    <x v="0"/>
    <x v="0"/>
    <x v="0"/>
    <x v="9"/>
  </r>
  <r>
    <x v="14"/>
    <x v="14"/>
    <x v="1"/>
    <x v="1"/>
    <x v="14"/>
    <n v="6.5361111111111114"/>
    <n v="80385"/>
    <n v="68"/>
    <x v="0"/>
    <x v="0"/>
    <x v="0"/>
    <x v="10"/>
  </r>
  <r>
    <x v="15"/>
    <x v="15"/>
    <x v="4"/>
    <x v="4"/>
    <x v="15"/>
    <n v="2.8444444444444446"/>
    <n v="65290"/>
    <n v="77"/>
    <x v="1"/>
    <x v="1"/>
    <x v="0"/>
    <x v="11"/>
  </r>
  <r>
    <x v="16"/>
    <x v="16"/>
    <x v="0"/>
    <x v="0"/>
    <x v="16"/>
    <n v="10.597222222222221"/>
    <n v="105765"/>
    <n v="42"/>
    <x v="2"/>
    <x v="2"/>
    <x v="0"/>
    <x v="4"/>
  </r>
  <r>
    <x v="17"/>
    <x v="17"/>
    <x v="4"/>
    <x v="4"/>
    <x v="17"/>
    <n v="9.0583333333333336"/>
    <n v="102921"/>
    <n v="49"/>
    <x v="2"/>
    <x v="2"/>
    <x v="0"/>
    <x v="4"/>
  </r>
  <r>
    <x v="18"/>
    <x v="11"/>
    <x v="0"/>
    <x v="0"/>
    <x v="18"/>
    <n v="8.1361111111111111"/>
    <n v="73984"/>
    <n v="93"/>
    <x v="3"/>
    <x v="3"/>
    <x v="0"/>
    <x v="12"/>
  </r>
  <r>
    <x v="19"/>
    <x v="18"/>
    <x v="1"/>
    <x v="1"/>
    <x v="19"/>
    <n v="9.9444444444444446"/>
    <n v="83604"/>
    <n v="75"/>
    <x v="1"/>
    <x v="1"/>
    <x v="0"/>
    <x v="13"/>
  </r>
  <r>
    <x v="20"/>
    <x v="19"/>
    <x v="0"/>
    <x v="0"/>
    <x v="20"/>
    <n v="8.5749999999999993"/>
    <n v="118527"/>
    <n v="50"/>
    <x v="0"/>
    <x v="0"/>
    <x v="0"/>
    <x v="14"/>
  </r>
  <r>
    <x v="21"/>
    <x v="20"/>
    <x v="2"/>
    <x v="2"/>
    <x v="21"/>
    <n v="5.0777777777777775"/>
    <n v="107871"/>
    <n v="88"/>
    <x v="3"/>
    <x v="3"/>
    <x v="0"/>
    <x v="15"/>
  </r>
  <r>
    <x v="22"/>
    <x v="1"/>
    <x v="1"/>
    <x v="1"/>
    <x v="22"/>
    <n v="3.8138888888888891"/>
    <n v="93956"/>
    <n v="50"/>
    <x v="0"/>
    <x v="0"/>
    <x v="0"/>
    <x v="16"/>
  </r>
  <r>
    <x v="23"/>
    <x v="21"/>
    <x v="0"/>
    <x v="0"/>
    <x v="23"/>
    <n v="9.9722222222222214"/>
    <n v="100851"/>
    <n v="64"/>
    <x v="0"/>
    <x v="0"/>
    <x v="1"/>
    <x v="17"/>
  </r>
  <r>
    <x v="24"/>
    <x v="22"/>
    <x v="2"/>
    <x v="2"/>
    <x v="24"/>
    <n v="4.05"/>
    <n v="68655"/>
    <n v="32"/>
    <x v="2"/>
    <x v="2"/>
    <x v="0"/>
    <x v="4"/>
  </r>
  <r>
    <x v="25"/>
    <x v="23"/>
    <x v="4"/>
    <x v="4"/>
    <x v="25"/>
    <n v="2.9361111111111109"/>
    <n v="81205"/>
    <n v="59"/>
    <x v="0"/>
    <x v="0"/>
    <x v="0"/>
    <x v="18"/>
  </r>
  <r>
    <x v="26"/>
    <x v="24"/>
    <x v="4"/>
    <x v="4"/>
    <x v="26"/>
    <n v="6.7777777777777777"/>
    <n v="77610"/>
    <n v="88"/>
    <x v="3"/>
    <x v="3"/>
    <x v="0"/>
    <x v="19"/>
  </r>
  <r>
    <x v="27"/>
    <x v="6"/>
    <x v="4"/>
    <x v="4"/>
    <x v="27"/>
    <n v="3.9472222222222224"/>
    <n v="50873"/>
    <n v="90"/>
    <x v="3"/>
    <x v="3"/>
    <x v="0"/>
    <x v="20"/>
  </r>
  <r>
    <x v="28"/>
    <x v="15"/>
    <x v="0"/>
    <x v="0"/>
    <x v="28"/>
    <n v="8.1416666666666675"/>
    <n v="85312"/>
    <n v="66"/>
    <x v="0"/>
    <x v="0"/>
    <x v="0"/>
    <x v="21"/>
  </r>
  <r>
    <x v="29"/>
    <x v="25"/>
    <x v="2"/>
    <x v="2"/>
    <x v="29"/>
    <n v="10.963888888888889"/>
    <n v="83604"/>
    <n v="68"/>
    <x v="0"/>
    <x v="0"/>
    <x v="0"/>
    <x v="22"/>
  </r>
  <r>
    <x v="30"/>
    <x v="26"/>
    <x v="4"/>
    <x v="4"/>
    <x v="30"/>
    <n v="10.91388888888889"/>
    <n v="97055"/>
    <n v="80"/>
    <x v="1"/>
    <x v="1"/>
    <x v="0"/>
    <x v="23"/>
  </r>
  <r>
    <x v="31"/>
    <x v="27"/>
    <x v="3"/>
    <x v="3"/>
    <x v="31"/>
    <n v="2.7722222222222221"/>
    <n v="66069"/>
    <n v="72"/>
    <x v="1"/>
    <x v="1"/>
    <x v="0"/>
    <x v="24"/>
  </r>
  <r>
    <x v="32"/>
    <x v="28"/>
    <x v="0"/>
    <x v="0"/>
    <x v="32"/>
    <n v="7.0666666666666664"/>
    <n v="90157"/>
    <n v="58"/>
    <x v="0"/>
    <x v="0"/>
    <x v="0"/>
    <x v="25"/>
  </r>
  <r>
    <x v="33"/>
    <x v="29"/>
    <x v="0"/>
    <x v="0"/>
    <x v="33"/>
    <n v="4.4638888888888886"/>
    <n v="59899"/>
    <n v="78"/>
    <x v="1"/>
    <x v="1"/>
    <x v="0"/>
    <x v="26"/>
  </r>
  <r>
    <x v="34"/>
    <x v="30"/>
    <x v="5"/>
    <x v="5"/>
    <x v="34"/>
    <n v="9.0027777777777782"/>
    <n v="113389"/>
    <n v="30"/>
    <x v="2"/>
    <x v="2"/>
    <x v="0"/>
    <x v="4"/>
  </r>
  <r>
    <x v="35"/>
    <x v="31"/>
    <x v="2"/>
    <x v="2"/>
    <x v="35"/>
    <n v="10.841666666666667"/>
    <n v="102691"/>
    <n v="52"/>
    <x v="0"/>
    <x v="0"/>
    <x v="0"/>
    <x v="27"/>
  </r>
  <r>
    <x v="36"/>
    <x v="32"/>
    <x v="0"/>
    <x v="0"/>
    <x v="36"/>
    <n v="3.9194444444444443"/>
    <n v="111845"/>
    <n v="98"/>
    <x v="4"/>
    <x v="4"/>
    <x v="0"/>
    <x v="28"/>
  </r>
  <r>
    <x v="37"/>
    <x v="6"/>
    <x v="3"/>
    <x v="3"/>
    <x v="37"/>
    <n v="4.0138888888888893"/>
    <n v="69219"/>
    <n v="93"/>
    <x v="3"/>
    <x v="3"/>
    <x v="0"/>
    <x v="29"/>
  </r>
  <r>
    <x v="38"/>
    <x v="33"/>
    <x v="4"/>
    <x v="4"/>
    <x v="38"/>
    <n v="6.1833333333333336"/>
    <n v="83604"/>
    <n v="80"/>
    <x v="1"/>
    <x v="1"/>
    <x v="0"/>
    <x v="13"/>
  </r>
  <r>
    <x v="39"/>
    <x v="34"/>
    <x v="2"/>
    <x v="2"/>
    <x v="39"/>
    <n v="8.8194444444444446"/>
    <n v="57514"/>
    <n v="68"/>
    <x v="0"/>
    <x v="0"/>
    <x v="1"/>
    <x v="30"/>
  </r>
  <r>
    <x v="40"/>
    <x v="35"/>
    <x v="3"/>
    <x v="3"/>
    <x v="40"/>
    <n v="8.2833333333333332"/>
    <n v="86245"/>
    <n v="71"/>
    <x v="1"/>
    <x v="1"/>
    <x v="0"/>
    <x v="31"/>
  </r>
  <r>
    <x v="41"/>
    <x v="36"/>
    <x v="4"/>
    <x v="4"/>
    <x v="41"/>
    <n v="6.1583333333333332"/>
    <n v="52407"/>
    <n v="55"/>
    <x v="0"/>
    <x v="0"/>
    <x v="1"/>
    <x v="32"/>
  </r>
  <r>
    <x v="42"/>
    <x v="37"/>
    <x v="4"/>
    <x v="4"/>
    <x v="42"/>
    <n v="7.2750000000000004"/>
    <n v="66606"/>
    <n v="93"/>
    <x v="3"/>
    <x v="3"/>
    <x v="0"/>
    <x v="33"/>
  </r>
  <r>
    <x v="43"/>
    <x v="38"/>
    <x v="3"/>
    <x v="3"/>
    <x v="43"/>
    <n v="6.9027777777777777"/>
    <n v="81896"/>
    <n v="79"/>
    <x v="1"/>
    <x v="1"/>
    <x v="2"/>
    <x v="34"/>
  </r>
  <r>
    <x v="44"/>
    <x v="39"/>
    <x v="0"/>
    <x v="0"/>
    <x v="23"/>
    <n v="9.9722222222222214"/>
    <n v="78402"/>
    <n v="54"/>
    <x v="0"/>
    <x v="0"/>
    <x v="2"/>
    <x v="35"/>
  </r>
  <r>
    <x v="45"/>
    <x v="40"/>
    <x v="4"/>
    <x v="4"/>
    <x v="44"/>
    <n v="9.75"/>
    <n v="105498"/>
    <n v="76"/>
    <x v="1"/>
    <x v="1"/>
    <x v="0"/>
    <x v="36"/>
  </r>
  <r>
    <x v="46"/>
    <x v="41"/>
    <x v="3"/>
    <x v="3"/>
    <x v="45"/>
    <n v="6.9833333333333334"/>
    <n v="91749"/>
    <n v="72"/>
    <x v="1"/>
    <x v="1"/>
    <x v="0"/>
    <x v="37"/>
  </r>
  <r>
    <x v="47"/>
    <x v="42"/>
    <x v="1"/>
    <x v="1"/>
    <x v="46"/>
    <n v="4.8472222222222223"/>
    <n v="99935"/>
    <n v="84"/>
    <x v="1"/>
    <x v="1"/>
    <x v="1"/>
    <x v="38"/>
  </r>
  <r>
    <x v="48"/>
    <x v="43"/>
    <x v="3"/>
    <x v="3"/>
    <x v="47"/>
    <n v="9.4388888888888882"/>
    <n v="83531"/>
    <n v="30"/>
    <x v="2"/>
    <x v="2"/>
    <x v="2"/>
    <x v="4"/>
  </r>
  <r>
    <x v="49"/>
    <x v="44"/>
    <x v="0"/>
    <x v="0"/>
    <x v="48"/>
    <n v="6.0944444444444441"/>
    <n v="75023"/>
    <n v="68"/>
    <x v="0"/>
    <x v="0"/>
    <x v="1"/>
    <x v="39"/>
  </r>
  <r>
    <x v="50"/>
    <x v="45"/>
    <x v="1"/>
    <x v="1"/>
    <x v="49"/>
    <n v="4.3722222222222218"/>
    <n v="93290"/>
    <n v="53"/>
    <x v="0"/>
    <x v="0"/>
    <x v="0"/>
    <x v="40"/>
  </r>
  <r>
    <x v="51"/>
    <x v="46"/>
    <x v="5"/>
    <x v="5"/>
    <x v="50"/>
    <n v="9.8027777777777771"/>
    <n v="115527"/>
    <n v="63"/>
    <x v="0"/>
    <x v="0"/>
    <x v="0"/>
    <x v="41"/>
  </r>
  <r>
    <x v="52"/>
    <x v="47"/>
    <x v="3"/>
    <x v="3"/>
    <x v="45"/>
    <n v="6.9833333333333334"/>
    <n v="55920"/>
    <n v="84"/>
    <x v="1"/>
    <x v="1"/>
    <x v="2"/>
    <x v="42"/>
  </r>
  <r>
    <x v="53"/>
    <x v="15"/>
    <x v="2"/>
    <x v="2"/>
    <x v="51"/>
    <n v="7.5111111111111111"/>
    <n v="80189"/>
    <n v="30"/>
    <x v="2"/>
    <x v="2"/>
    <x v="0"/>
    <x v="4"/>
  </r>
  <r>
    <x v="54"/>
    <x v="5"/>
    <x v="4"/>
    <x v="4"/>
    <x v="52"/>
    <n v="5.5277777777777777"/>
    <n v="118947"/>
    <n v="96"/>
    <x v="4"/>
    <x v="4"/>
    <x v="0"/>
    <x v="43"/>
  </r>
  <r>
    <x v="55"/>
    <x v="48"/>
    <x v="5"/>
    <x v="5"/>
    <x v="53"/>
    <n v="2.9972222222222222"/>
    <n v="83604"/>
    <n v="54"/>
    <x v="0"/>
    <x v="0"/>
    <x v="0"/>
    <x v="22"/>
  </r>
  <r>
    <x v="56"/>
    <x v="49"/>
    <x v="0"/>
    <x v="0"/>
    <x v="54"/>
    <n v="5.6416666666666666"/>
    <n v="83604"/>
    <n v="75"/>
    <x v="1"/>
    <x v="1"/>
    <x v="0"/>
    <x v="13"/>
  </r>
  <r>
    <x v="57"/>
    <x v="50"/>
    <x v="3"/>
    <x v="3"/>
    <x v="55"/>
    <n v="8.0055555555555564"/>
    <n v="91655"/>
    <n v="95"/>
    <x v="4"/>
    <x v="4"/>
    <x v="0"/>
    <x v="44"/>
  </r>
  <r>
    <x v="58"/>
    <x v="51"/>
    <x v="5"/>
    <x v="5"/>
    <x v="56"/>
    <n v="2.6083333333333334"/>
    <n v="49435"/>
    <n v="68"/>
    <x v="0"/>
    <x v="0"/>
    <x v="0"/>
    <x v="45"/>
  </r>
  <r>
    <x v="59"/>
    <x v="0"/>
    <x v="0"/>
    <x v="0"/>
    <x v="57"/>
    <n v="2.7111111111111112"/>
    <n v="110381"/>
    <n v="93"/>
    <x v="3"/>
    <x v="3"/>
    <x v="1"/>
    <x v="46"/>
  </r>
  <r>
    <x v="60"/>
    <x v="36"/>
    <x v="4"/>
    <x v="4"/>
    <x v="58"/>
    <n v="5.8305555555555557"/>
    <n v="114748"/>
    <n v="33"/>
    <x v="2"/>
    <x v="2"/>
    <x v="0"/>
    <x v="4"/>
  </r>
  <r>
    <x v="61"/>
    <x v="52"/>
    <x v="5"/>
    <x v="5"/>
    <x v="59"/>
    <n v="9.3277777777777775"/>
    <n v="63302"/>
    <n v="91"/>
    <x v="3"/>
    <x v="3"/>
    <x v="0"/>
    <x v="47"/>
  </r>
  <r>
    <x v="62"/>
    <x v="53"/>
    <x v="3"/>
    <x v="3"/>
    <x v="60"/>
    <n v="11.183333333333334"/>
    <n v="75519"/>
    <n v="64"/>
    <x v="0"/>
    <x v="0"/>
    <x v="0"/>
    <x v="48"/>
  </r>
  <r>
    <x v="63"/>
    <x v="54"/>
    <x v="0"/>
    <x v="0"/>
    <x v="61"/>
    <n v="9.2249999999999996"/>
    <n v="103891"/>
    <n v="80"/>
    <x v="1"/>
    <x v="1"/>
    <x v="0"/>
    <x v="49"/>
  </r>
  <r>
    <x v="64"/>
    <x v="46"/>
    <x v="2"/>
    <x v="2"/>
    <x v="62"/>
    <n v="3.7805555555555554"/>
    <n v="83604"/>
    <n v="46"/>
    <x v="2"/>
    <x v="2"/>
    <x v="0"/>
    <x v="4"/>
  </r>
  <r>
    <x v="65"/>
    <x v="55"/>
    <x v="3"/>
    <x v="3"/>
    <x v="63"/>
    <n v="9.6472222222222221"/>
    <n v="50936"/>
    <n v="99"/>
    <x v="4"/>
    <x v="4"/>
    <x v="1"/>
    <x v="50"/>
  </r>
  <r>
    <x v="66"/>
    <x v="56"/>
    <x v="1"/>
    <x v="1"/>
    <x v="64"/>
    <n v="9.2777777777777786"/>
    <n v="111240"/>
    <n v="68"/>
    <x v="0"/>
    <x v="0"/>
    <x v="0"/>
    <x v="51"/>
  </r>
  <r>
    <x v="67"/>
    <x v="57"/>
    <x v="4"/>
    <x v="4"/>
    <x v="65"/>
    <n v="7.1638888888888888"/>
    <n v="51567"/>
    <n v="87"/>
    <x v="3"/>
    <x v="3"/>
    <x v="0"/>
    <x v="52"/>
  </r>
  <r>
    <x v="68"/>
    <x v="58"/>
    <x v="5"/>
    <x v="5"/>
    <x v="66"/>
    <n v="4.9416666666666664"/>
    <n v="83604"/>
    <n v="36"/>
    <x v="2"/>
    <x v="2"/>
    <x v="2"/>
    <x v="4"/>
  </r>
  <r>
    <x v="69"/>
    <x v="59"/>
    <x v="5"/>
    <x v="5"/>
    <x v="67"/>
    <n v="8.7611111111111111"/>
    <n v="55270"/>
    <n v="87"/>
    <x v="3"/>
    <x v="3"/>
    <x v="0"/>
    <x v="53"/>
  </r>
  <r>
    <x v="70"/>
    <x v="54"/>
    <x v="5"/>
    <x v="5"/>
    <x v="68"/>
    <n v="10.991666666666667"/>
    <n v="65235"/>
    <n v="97"/>
    <x v="4"/>
    <x v="4"/>
    <x v="0"/>
    <x v="54"/>
  </r>
  <r>
    <x v="71"/>
    <x v="60"/>
    <x v="4"/>
    <x v="4"/>
    <x v="55"/>
    <n v="8.0055555555555564"/>
    <n v="83604"/>
    <n v="72"/>
    <x v="1"/>
    <x v="1"/>
    <x v="0"/>
    <x v="13"/>
  </r>
  <r>
    <x v="72"/>
    <x v="61"/>
    <x v="4"/>
    <x v="4"/>
    <x v="69"/>
    <n v="3.8027777777777776"/>
    <n v="83604"/>
    <n v="65"/>
    <x v="0"/>
    <x v="0"/>
    <x v="1"/>
    <x v="22"/>
  </r>
  <r>
    <x v="73"/>
    <x v="62"/>
    <x v="4"/>
    <x v="4"/>
    <x v="70"/>
    <n v="10.838888888888889"/>
    <n v="83604"/>
    <n v="67"/>
    <x v="0"/>
    <x v="0"/>
    <x v="1"/>
    <x v="22"/>
  </r>
  <r>
    <x v="74"/>
    <x v="53"/>
    <x v="3"/>
    <x v="3"/>
    <x v="71"/>
    <n v="9.7305555555555561"/>
    <n v="48823"/>
    <n v="34"/>
    <x v="2"/>
    <x v="2"/>
    <x v="0"/>
    <x v="4"/>
  </r>
  <r>
    <x v="75"/>
    <x v="63"/>
    <x v="4"/>
    <x v="4"/>
    <x v="72"/>
    <n v="7.2055555555555557"/>
    <n v="45196"/>
    <n v="78"/>
    <x v="1"/>
    <x v="1"/>
    <x v="0"/>
    <x v="55"/>
  </r>
  <r>
    <x v="76"/>
    <x v="64"/>
    <x v="3"/>
    <x v="3"/>
    <x v="73"/>
    <n v="9.375"/>
    <n v="86246"/>
    <n v="61"/>
    <x v="0"/>
    <x v="0"/>
    <x v="0"/>
    <x v="56"/>
  </r>
  <r>
    <x v="77"/>
    <x v="63"/>
    <x v="2"/>
    <x v="2"/>
    <x v="74"/>
    <n v="4.9861111111111107"/>
    <n v="70359"/>
    <n v="74"/>
    <x v="1"/>
    <x v="1"/>
    <x v="1"/>
    <x v="57"/>
  </r>
  <r>
    <x v="78"/>
    <x v="65"/>
    <x v="0"/>
    <x v="0"/>
    <x v="75"/>
    <n v="7.1388888888888893"/>
    <n v="83604"/>
    <n v="94"/>
    <x v="3"/>
    <x v="3"/>
    <x v="0"/>
    <x v="58"/>
  </r>
  <r>
    <x v="79"/>
    <x v="10"/>
    <x v="4"/>
    <x v="4"/>
    <x v="76"/>
    <n v="10.616666666666667"/>
    <n v="86480"/>
    <n v="68"/>
    <x v="0"/>
    <x v="0"/>
    <x v="1"/>
    <x v="59"/>
  </r>
  <r>
    <x v="80"/>
    <x v="35"/>
    <x v="1"/>
    <x v="1"/>
    <x v="77"/>
    <n v="7.7638888888888893"/>
    <n v="47694"/>
    <n v="75"/>
    <x v="1"/>
    <x v="1"/>
    <x v="0"/>
    <x v="60"/>
  </r>
  <r>
    <x v="81"/>
    <x v="27"/>
    <x v="3"/>
    <x v="3"/>
    <x v="78"/>
    <n v="2.838888888888889"/>
    <n v="83724"/>
    <n v="81"/>
    <x v="1"/>
    <x v="1"/>
    <x v="0"/>
    <x v="61"/>
  </r>
  <r>
    <x v="82"/>
    <x v="66"/>
    <x v="3"/>
    <x v="3"/>
    <x v="79"/>
    <n v="3.963888888888889"/>
    <n v="98299"/>
    <n v="61"/>
    <x v="0"/>
    <x v="0"/>
    <x v="0"/>
    <x v="62"/>
  </r>
  <r>
    <x v="83"/>
    <x v="67"/>
    <x v="5"/>
    <x v="5"/>
    <x v="80"/>
    <n v="5.4083333333333332"/>
    <n v="83604"/>
    <n v="68"/>
    <x v="0"/>
    <x v="0"/>
    <x v="0"/>
    <x v="22"/>
  </r>
  <r>
    <x v="84"/>
    <x v="68"/>
    <x v="0"/>
    <x v="0"/>
    <x v="81"/>
    <n v="3.2333333333333334"/>
    <n v="52287"/>
    <n v="70"/>
    <x v="1"/>
    <x v="1"/>
    <x v="2"/>
    <x v="63"/>
  </r>
  <r>
    <x v="85"/>
    <x v="69"/>
    <x v="2"/>
    <x v="2"/>
    <x v="82"/>
    <n v="5.8444444444444441"/>
    <n v="82633"/>
    <n v="98"/>
    <x v="4"/>
    <x v="4"/>
    <x v="0"/>
    <x v="64"/>
  </r>
  <r>
    <x v="86"/>
    <x v="70"/>
    <x v="2"/>
    <x v="2"/>
    <x v="83"/>
    <n v="4.8888888888888893"/>
    <n v="46508"/>
    <n v="34"/>
    <x v="2"/>
    <x v="2"/>
    <x v="0"/>
    <x v="4"/>
  </r>
  <r>
    <x v="87"/>
    <x v="71"/>
    <x v="0"/>
    <x v="0"/>
    <x v="84"/>
    <n v="6.6027777777777779"/>
    <n v="86232"/>
    <n v="93"/>
    <x v="3"/>
    <x v="3"/>
    <x v="0"/>
    <x v="65"/>
  </r>
  <r>
    <x v="88"/>
    <x v="58"/>
    <x v="0"/>
    <x v="0"/>
    <x v="85"/>
    <n v="9.1083333333333325"/>
    <n v="77545"/>
    <n v="48"/>
    <x v="2"/>
    <x v="2"/>
    <x v="0"/>
    <x v="4"/>
  </r>
  <r>
    <x v="89"/>
    <x v="72"/>
    <x v="3"/>
    <x v="3"/>
    <x v="86"/>
    <n v="7.5888888888888886"/>
    <n v="68683"/>
    <n v="90"/>
    <x v="3"/>
    <x v="3"/>
    <x v="0"/>
    <x v="66"/>
  </r>
  <r>
    <x v="90"/>
    <x v="2"/>
    <x v="5"/>
    <x v="5"/>
    <x v="87"/>
    <n v="7.0305555555555559"/>
    <n v="83932"/>
    <n v="57"/>
    <x v="0"/>
    <x v="0"/>
    <x v="0"/>
    <x v="67"/>
  </r>
  <r>
    <x v="91"/>
    <x v="46"/>
    <x v="0"/>
    <x v="0"/>
    <x v="88"/>
    <n v="10.686111111111112"/>
    <n v="56073"/>
    <n v="79"/>
    <x v="1"/>
    <x v="1"/>
    <x v="0"/>
    <x v="68"/>
  </r>
  <r>
    <x v="92"/>
    <x v="73"/>
    <x v="3"/>
    <x v="3"/>
    <x v="89"/>
    <n v="8.0416666666666661"/>
    <n v="88056"/>
    <n v="66"/>
    <x v="0"/>
    <x v="0"/>
    <x v="0"/>
    <x v="69"/>
  </r>
  <r>
    <x v="93"/>
    <x v="56"/>
    <x v="2"/>
    <x v="2"/>
    <x v="90"/>
    <n v="8.4777777777777779"/>
    <n v="67414"/>
    <n v="84"/>
    <x v="1"/>
    <x v="1"/>
    <x v="1"/>
    <x v="70"/>
  </r>
  <r>
    <x v="94"/>
    <x v="74"/>
    <x v="5"/>
    <x v="5"/>
    <x v="91"/>
    <n v="11.5"/>
    <n v="115288"/>
    <n v="61"/>
    <x v="0"/>
    <x v="0"/>
    <x v="0"/>
    <x v="71"/>
  </r>
  <r>
    <x v="95"/>
    <x v="42"/>
    <x v="0"/>
    <x v="0"/>
    <x v="92"/>
    <n v="7.5805555555555557"/>
    <n v="80140"/>
    <n v="58"/>
    <x v="0"/>
    <x v="0"/>
    <x v="0"/>
    <x v="72"/>
  </r>
  <r>
    <x v="96"/>
    <x v="75"/>
    <x v="3"/>
    <x v="3"/>
    <x v="93"/>
    <n v="4.7249999999999996"/>
    <n v="73087"/>
    <n v="69"/>
    <x v="0"/>
    <x v="0"/>
    <x v="1"/>
    <x v="73"/>
  </r>
  <r>
    <x v="97"/>
    <x v="73"/>
    <x v="4"/>
    <x v="4"/>
    <x v="94"/>
    <n v="5.8250000000000002"/>
    <n v="95292"/>
    <n v="34"/>
    <x v="2"/>
    <x v="2"/>
    <x v="0"/>
    <x v="4"/>
  </r>
  <r>
    <x v="98"/>
    <x v="76"/>
    <x v="4"/>
    <x v="4"/>
    <x v="95"/>
    <n v="6.9194444444444443"/>
    <n v="83604"/>
    <n v="33"/>
    <x v="2"/>
    <x v="2"/>
    <x v="0"/>
    <x v="4"/>
  </r>
  <r>
    <x v="99"/>
    <x v="71"/>
    <x v="0"/>
    <x v="0"/>
    <x v="96"/>
    <n v="11.313888888888888"/>
    <n v="101750"/>
    <n v="84"/>
    <x v="1"/>
    <x v="1"/>
    <x v="0"/>
    <x v="74"/>
  </r>
  <r>
    <x v="100"/>
    <x v="77"/>
    <x v="4"/>
    <x v="4"/>
    <x v="73"/>
    <n v="9.375"/>
    <n v="82992"/>
    <n v="79"/>
    <x v="1"/>
    <x v="1"/>
    <x v="0"/>
    <x v="75"/>
  </r>
  <r>
    <x v="101"/>
    <x v="78"/>
    <x v="0"/>
    <x v="0"/>
    <x v="97"/>
    <n v="3.1527777777777777"/>
    <n v="49942"/>
    <n v="51"/>
    <x v="0"/>
    <x v="0"/>
    <x v="0"/>
    <x v="76"/>
  </r>
  <r>
    <x v="102"/>
    <x v="79"/>
    <x v="1"/>
    <x v="1"/>
    <x v="98"/>
    <n v="8.4499999999999993"/>
    <n v="89060"/>
    <n v="58"/>
    <x v="0"/>
    <x v="0"/>
    <x v="1"/>
    <x v="77"/>
  </r>
  <r>
    <x v="103"/>
    <x v="80"/>
    <x v="1"/>
    <x v="1"/>
    <x v="99"/>
    <n v="6.3777777777777782"/>
    <n v="53786"/>
    <n v="98"/>
    <x v="4"/>
    <x v="4"/>
    <x v="0"/>
    <x v="78"/>
  </r>
  <r>
    <x v="104"/>
    <x v="81"/>
    <x v="0"/>
    <x v="0"/>
    <x v="100"/>
    <n v="10.116666666666667"/>
    <n v="81167"/>
    <n v="68"/>
    <x v="0"/>
    <x v="0"/>
    <x v="0"/>
    <x v="79"/>
  </r>
  <r>
    <x v="105"/>
    <x v="82"/>
    <x v="3"/>
    <x v="3"/>
    <x v="101"/>
    <n v="5.0888888888888886"/>
    <n v="66688"/>
    <n v="40"/>
    <x v="2"/>
    <x v="2"/>
    <x v="0"/>
    <x v="4"/>
  </r>
  <r>
    <x v="106"/>
    <x v="62"/>
    <x v="0"/>
    <x v="0"/>
    <x v="102"/>
    <n v="4.9638888888888886"/>
    <n v="91672"/>
    <n v="88"/>
    <x v="3"/>
    <x v="3"/>
    <x v="0"/>
    <x v="80"/>
  </r>
  <r>
    <x v="107"/>
    <x v="5"/>
    <x v="3"/>
    <x v="3"/>
    <x v="103"/>
    <n v="9.6416666666666675"/>
    <n v="77737"/>
    <n v="77"/>
    <x v="1"/>
    <x v="1"/>
    <x v="0"/>
    <x v="81"/>
  </r>
  <r>
    <x v="108"/>
    <x v="83"/>
    <x v="1"/>
    <x v="1"/>
    <x v="104"/>
    <n v="7.3805555555555555"/>
    <n v="95686"/>
    <n v="91"/>
    <x v="3"/>
    <x v="3"/>
    <x v="1"/>
    <x v="82"/>
  </r>
  <r>
    <x v="109"/>
    <x v="84"/>
    <x v="0"/>
    <x v="0"/>
    <x v="105"/>
    <n v="9.8111111111111118"/>
    <n v="114681"/>
    <n v="36"/>
    <x v="2"/>
    <x v="2"/>
    <x v="0"/>
    <x v="4"/>
  </r>
  <r>
    <x v="110"/>
    <x v="85"/>
    <x v="5"/>
    <x v="5"/>
    <x v="106"/>
    <n v="4.8916666666666666"/>
    <n v="109121"/>
    <n v="72"/>
    <x v="1"/>
    <x v="1"/>
    <x v="0"/>
    <x v="83"/>
  </r>
  <r>
    <x v="111"/>
    <x v="35"/>
    <x v="4"/>
    <x v="4"/>
    <x v="107"/>
    <n v="6.0555555555555554"/>
    <n v="112791"/>
    <n v="87"/>
    <x v="3"/>
    <x v="3"/>
    <x v="0"/>
    <x v="84"/>
  </r>
  <r>
    <x v="112"/>
    <x v="7"/>
    <x v="4"/>
    <x v="4"/>
    <x v="108"/>
    <n v="3.9972222222222222"/>
    <n v="118008"/>
    <n v="71"/>
    <x v="1"/>
    <x v="1"/>
    <x v="0"/>
    <x v="85"/>
  </r>
  <r>
    <x v="113"/>
    <x v="56"/>
    <x v="3"/>
    <x v="3"/>
    <x v="109"/>
    <n v="9.7416666666666671"/>
    <n v="74370"/>
    <n v="82"/>
    <x v="1"/>
    <x v="1"/>
    <x v="0"/>
    <x v="86"/>
  </r>
  <r>
    <x v="114"/>
    <x v="86"/>
    <x v="1"/>
    <x v="1"/>
    <x v="110"/>
    <n v="4.197222222222222"/>
    <n v="77819"/>
    <n v="79"/>
    <x v="1"/>
    <x v="1"/>
    <x v="0"/>
    <x v="87"/>
  </r>
  <r>
    <x v="115"/>
    <x v="87"/>
    <x v="0"/>
    <x v="0"/>
    <x v="111"/>
    <n v="8.7472222222222218"/>
    <n v="48748"/>
    <n v="83"/>
    <x v="1"/>
    <x v="1"/>
    <x v="0"/>
    <x v="88"/>
  </r>
  <r>
    <x v="116"/>
    <x v="75"/>
    <x v="0"/>
    <x v="0"/>
    <x v="112"/>
    <n v="6.1222222222222218"/>
    <n v="101997"/>
    <n v="38"/>
    <x v="2"/>
    <x v="2"/>
    <x v="0"/>
    <x v="4"/>
  </r>
  <r>
    <x v="117"/>
    <x v="88"/>
    <x v="0"/>
    <x v="0"/>
    <x v="113"/>
    <n v="3.2055555555555557"/>
    <n v="115260"/>
    <n v="77"/>
    <x v="1"/>
    <x v="1"/>
    <x v="0"/>
    <x v="89"/>
  </r>
  <r>
    <x v="118"/>
    <x v="13"/>
    <x v="1"/>
    <x v="1"/>
    <x v="114"/>
    <n v="4.677777777777778"/>
    <n v="83604"/>
    <n v="49"/>
    <x v="2"/>
    <x v="2"/>
    <x v="0"/>
    <x v="4"/>
  </r>
  <r>
    <x v="119"/>
    <x v="89"/>
    <x v="3"/>
    <x v="3"/>
    <x v="115"/>
    <n v="4.6944444444444446"/>
    <n v="83604"/>
    <n v="69"/>
    <x v="0"/>
    <x v="0"/>
    <x v="2"/>
    <x v="22"/>
  </r>
  <r>
    <x v="120"/>
    <x v="90"/>
    <x v="5"/>
    <x v="5"/>
    <x v="116"/>
    <n v="8.9027777777777786"/>
    <n v="83604"/>
    <n v="76"/>
    <x v="1"/>
    <x v="1"/>
    <x v="0"/>
    <x v="13"/>
  </r>
  <r>
    <x v="121"/>
    <x v="91"/>
    <x v="4"/>
    <x v="4"/>
    <x v="117"/>
    <n v="3.5"/>
    <n v="60623"/>
    <n v="78"/>
    <x v="1"/>
    <x v="1"/>
    <x v="0"/>
    <x v="90"/>
  </r>
  <r>
    <x v="122"/>
    <x v="33"/>
    <x v="0"/>
    <x v="0"/>
    <x v="118"/>
    <n v="5.9"/>
    <n v="68092"/>
    <n v="93"/>
    <x v="3"/>
    <x v="3"/>
    <x v="1"/>
    <x v="91"/>
  </r>
  <r>
    <x v="123"/>
    <x v="92"/>
    <x v="4"/>
    <x v="4"/>
    <x v="119"/>
    <n v="4.2555555555555555"/>
    <n v="88155"/>
    <n v="68"/>
    <x v="0"/>
    <x v="0"/>
    <x v="0"/>
    <x v="92"/>
  </r>
  <r>
    <x v="124"/>
    <x v="93"/>
    <x v="3"/>
    <x v="3"/>
    <x v="120"/>
    <n v="8.2777777777777786"/>
    <n v="107903"/>
    <n v="42"/>
    <x v="2"/>
    <x v="2"/>
    <x v="0"/>
    <x v="4"/>
  </r>
  <r>
    <x v="125"/>
    <x v="45"/>
    <x v="5"/>
    <x v="5"/>
    <x v="121"/>
    <n v="7.9444444444444446"/>
    <n v="62818"/>
    <n v="34"/>
    <x v="2"/>
    <x v="2"/>
    <x v="0"/>
    <x v="4"/>
  </r>
  <r>
    <x v="126"/>
    <x v="25"/>
    <x v="1"/>
    <x v="1"/>
    <x v="122"/>
    <n v="7.9555555555555557"/>
    <n v="85151"/>
    <n v="35"/>
    <x v="2"/>
    <x v="2"/>
    <x v="0"/>
    <x v="4"/>
  </r>
  <r>
    <x v="127"/>
    <x v="94"/>
    <x v="1"/>
    <x v="1"/>
    <x v="123"/>
    <n v="10.333333333333334"/>
    <n v="46390"/>
    <n v="95"/>
    <x v="4"/>
    <x v="4"/>
    <x v="0"/>
    <x v="93"/>
  </r>
  <r>
    <x v="128"/>
    <x v="83"/>
    <x v="0"/>
    <x v="0"/>
    <x v="124"/>
    <n v="4.2805555555555559"/>
    <n v="111920"/>
    <n v="90"/>
    <x v="3"/>
    <x v="3"/>
    <x v="0"/>
    <x v="94"/>
  </r>
  <r>
    <x v="129"/>
    <x v="70"/>
    <x v="5"/>
    <x v="5"/>
    <x v="125"/>
    <n v="8.9333333333333336"/>
    <n v="115618"/>
    <n v="42"/>
    <x v="2"/>
    <x v="2"/>
    <x v="0"/>
    <x v="4"/>
  </r>
  <r>
    <x v="130"/>
    <x v="46"/>
    <x v="2"/>
    <x v="2"/>
    <x v="126"/>
    <n v="2.6638888888888888"/>
    <n v="110618"/>
    <n v="88"/>
    <x v="3"/>
    <x v="3"/>
    <x v="0"/>
    <x v="95"/>
  </r>
  <r>
    <x v="131"/>
    <x v="66"/>
    <x v="3"/>
    <x v="3"/>
    <x v="127"/>
    <n v="4.291666666666667"/>
    <n v="108395"/>
    <n v="78"/>
    <x v="1"/>
    <x v="1"/>
    <x v="0"/>
    <x v="96"/>
  </r>
  <r>
    <x v="132"/>
    <x v="3"/>
    <x v="5"/>
    <x v="5"/>
    <x v="128"/>
    <n v="8.5333333333333332"/>
    <n v="88005"/>
    <n v="69"/>
    <x v="0"/>
    <x v="0"/>
    <x v="1"/>
    <x v="97"/>
  </r>
  <r>
    <x v="133"/>
    <x v="95"/>
    <x v="5"/>
    <x v="5"/>
    <x v="46"/>
    <n v="4.8472222222222223"/>
    <n v="83007"/>
    <n v="82"/>
    <x v="1"/>
    <x v="1"/>
    <x v="0"/>
    <x v="98"/>
  </r>
  <r>
    <x v="134"/>
    <x v="96"/>
    <x v="4"/>
    <x v="4"/>
    <x v="129"/>
    <n v="7.7972222222222225"/>
    <n v="61547"/>
    <n v="68"/>
    <x v="0"/>
    <x v="0"/>
    <x v="2"/>
    <x v="99"/>
  </r>
  <r>
    <x v="135"/>
    <x v="97"/>
    <x v="3"/>
    <x v="3"/>
    <x v="130"/>
    <n v="5.0166666666666666"/>
    <n v="83604"/>
    <n v="52"/>
    <x v="0"/>
    <x v="0"/>
    <x v="1"/>
    <x v="22"/>
  </r>
  <r>
    <x v="136"/>
    <x v="42"/>
    <x v="2"/>
    <x v="2"/>
    <x v="131"/>
    <n v="8.7527777777777782"/>
    <n v="50399"/>
    <n v="92"/>
    <x v="3"/>
    <x v="3"/>
    <x v="0"/>
    <x v="100"/>
  </r>
  <r>
    <x v="137"/>
    <x v="25"/>
    <x v="2"/>
    <x v="2"/>
    <x v="132"/>
    <n v="10.7"/>
    <n v="83604"/>
    <n v="62"/>
    <x v="0"/>
    <x v="0"/>
    <x v="0"/>
    <x v="22"/>
  </r>
  <r>
    <x v="138"/>
    <x v="98"/>
    <x v="1"/>
    <x v="1"/>
    <x v="133"/>
    <n v="8.0777777777777775"/>
    <n v="52720"/>
    <n v="68"/>
    <x v="0"/>
    <x v="0"/>
    <x v="0"/>
    <x v="101"/>
  </r>
  <r>
    <x v="139"/>
    <x v="99"/>
    <x v="0"/>
    <x v="0"/>
    <x v="134"/>
    <n v="8.9666666666666668"/>
    <n v="65065"/>
    <n v="98"/>
    <x v="4"/>
    <x v="4"/>
    <x v="0"/>
    <x v="102"/>
  </r>
  <r>
    <x v="140"/>
    <x v="100"/>
    <x v="4"/>
    <x v="4"/>
    <x v="135"/>
    <n v="11.03888888888889"/>
    <n v="83604"/>
    <n v="94"/>
    <x v="3"/>
    <x v="3"/>
    <x v="0"/>
    <x v="58"/>
  </r>
  <r>
    <x v="141"/>
    <x v="101"/>
    <x v="3"/>
    <x v="3"/>
    <x v="136"/>
    <n v="7.1111111111111107"/>
    <n v="108119"/>
    <n v="57"/>
    <x v="0"/>
    <x v="0"/>
    <x v="1"/>
    <x v="103"/>
  </r>
  <r>
    <x v="142"/>
    <x v="102"/>
    <x v="2"/>
    <x v="2"/>
    <x v="137"/>
    <n v="6.3555555555555552"/>
    <n v="83604"/>
    <n v="96"/>
    <x v="4"/>
    <x v="4"/>
    <x v="0"/>
    <x v="104"/>
  </r>
  <r>
    <x v="143"/>
    <x v="103"/>
    <x v="3"/>
    <x v="3"/>
    <x v="138"/>
    <n v="3.3277777777777779"/>
    <n v="106896"/>
    <n v="52"/>
    <x v="0"/>
    <x v="0"/>
    <x v="0"/>
    <x v="105"/>
  </r>
  <r>
    <x v="144"/>
    <x v="104"/>
    <x v="3"/>
    <x v="3"/>
    <x v="139"/>
    <n v="6.5916666666666668"/>
    <n v="112887"/>
    <n v="59"/>
    <x v="0"/>
    <x v="0"/>
    <x v="0"/>
    <x v="106"/>
  </r>
  <r>
    <x v="145"/>
    <x v="97"/>
    <x v="4"/>
    <x v="4"/>
    <x v="140"/>
    <n v="3.2027777777777779"/>
    <n v="85457"/>
    <n v="79"/>
    <x v="1"/>
    <x v="1"/>
    <x v="2"/>
    <x v="107"/>
  </r>
  <r>
    <x v="146"/>
    <x v="97"/>
    <x v="3"/>
    <x v="3"/>
    <x v="141"/>
    <n v="10.097222222222221"/>
    <n v="62798"/>
    <n v="30"/>
    <x v="2"/>
    <x v="2"/>
    <x v="2"/>
    <x v="4"/>
  </r>
  <r>
    <x v="147"/>
    <x v="44"/>
    <x v="0"/>
    <x v="0"/>
    <x v="142"/>
    <n v="4.0944444444444441"/>
    <n v="47794"/>
    <n v="73"/>
    <x v="1"/>
    <x v="1"/>
    <x v="0"/>
    <x v="108"/>
  </r>
  <r>
    <x v="148"/>
    <x v="47"/>
    <x v="5"/>
    <x v="5"/>
    <x v="143"/>
    <n v="9.6694444444444443"/>
    <n v="93094"/>
    <n v="74"/>
    <x v="1"/>
    <x v="1"/>
    <x v="1"/>
    <x v="109"/>
  </r>
  <r>
    <x v="149"/>
    <x v="105"/>
    <x v="0"/>
    <x v="0"/>
    <x v="144"/>
    <n v="3.7222222222222223"/>
    <n v="118634"/>
    <n v="91"/>
    <x v="3"/>
    <x v="3"/>
    <x v="0"/>
    <x v="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305777-3363-4B11-B863-1040B25EB93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D3:H10" firstHeaderRow="1" firstDataRow="2" firstDataCol="1"/>
  <pivotFields count="12">
    <pivotField dataField="1" showAll="0"/>
    <pivotField showAll="0"/>
    <pivotField showAll="0">
      <items count="7">
        <item x="2"/>
        <item x="5"/>
        <item x="0"/>
        <item x="1"/>
        <item x="3"/>
        <item x="4"/>
        <item t="default"/>
      </items>
    </pivotField>
    <pivotField axis="axisRow" showAll="0">
      <items count="7">
        <item x="2"/>
        <item x="5"/>
        <item x="0"/>
        <item x="1"/>
        <item x="3"/>
        <item x="4"/>
        <item t="default"/>
      </items>
    </pivotField>
    <pivotField numFmtId="165" showAll="0"/>
    <pivotField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axis="axisCol" showAll="0">
      <items count="4">
        <item x="0"/>
        <item x="1"/>
        <item x="2"/>
        <item t="default"/>
      </items>
    </pivotField>
    <pivotField numFmtId="166" showAll="0"/>
  </pivotFields>
  <rowFields count="1">
    <field x="3"/>
  </rowFields>
  <rowItems count="6">
    <i>
      <x/>
    </i>
    <i>
      <x v="1"/>
    </i>
    <i>
      <x v="2"/>
    </i>
    <i>
      <x v="3"/>
    </i>
    <i>
      <x v="4"/>
    </i>
    <i>
      <x v="5"/>
    </i>
  </rowItems>
  <colFields count="1">
    <field x="10"/>
  </colFields>
  <colItems count="4">
    <i>
      <x/>
    </i>
    <i>
      <x v="1"/>
    </i>
    <i>
      <x v="2"/>
    </i>
    <i t="grand">
      <x/>
    </i>
  </colItems>
  <dataFields count="1">
    <dataField name="Count of Emp ID" fld="0"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43DD9D-ADD8-4899-B11D-CBEFDF1B4F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dataField="1" showAll="0"/>
    <pivotField showAll="0"/>
    <pivotField showAll="0">
      <items count="7">
        <item x="2"/>
        <item x="5"/>
        <item x="0"/>
        <item x="1"/>
        <item x="3"/>
        <item x="4"/>
        <item t="default"/>
      </items>
    </pivotField>
    <pivotField showAll="0"/>
    <pivotField numFmtId="165" showAll="0"/>
    <pivotField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pivotFields>
  <rowItems count="1">
    <i/>
  </rowItems>
  <colItems count="1">
    <i/>
  </colItems>
  <dataFields count="1">
    <dataField name="Total head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3C26BC-6A0F-4678-9899-277C13438E0A}"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3:L9" firstHeaderRow="1" firstDataRow="1" firstDataCol="1"/>
  <pivotFields count="12">
    <pivotField showAll="0"/>
    <pivotField showAll="0"/>
    <pivotField showAll="0">
      <items count="7">
        <item x="2"/>
        <item x="5"/>
        <item x="0"/>
        <item x="1"/>
        <item x="3"/>
        <item x="4"/>
        <item t="default"/>
      </items>
    </pivotField>
    <pivotField axis="axisRow" showAll="0">
      <items count="7">
        <item x="2"/>
        <item x="5"/>
        <item x="0"/>
        <item x="1"/>
        <item x="3"/>
        <item x="4"/>
        <item t="default"/>
      </items>
    </pivotField>
    <pivotField numFmtId="165" showAll="0"/>
    <pivotField dataField="1"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pivotFields>
  <rowFields count="1">
    <field x="3"/>
  </rowFields>
  <rowItems count="6">
    <i>
      <x/>
    </i>
    <i>
      <x v="1"/>
    </i>
    <i>
      <x v="2"/>
    </i>
    <i>
      <x v="3"/>
    </i>
    <i>
      <x v="4"/>
    </i>
    <i>
      <x v="5"/>
    </i>
  </rowItems>
  <colItems count="1">
    <i/>
  </colItems>
  <dataFields count="1">
    <dataField name="Average of Years of Service" fld="5" subtotal="average" baseField="3" baseItem="0" numFmtId="167"/>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FFBA8-ABAE-4982-BB96-BFB1BADAD417}"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H15:I21" firstHeaderRow="1" firstDataRow="1" firstDataCol="1"/>
  <pivotFields count="12">
    <pivotField dataField="1" showAll="0"/>
    <pivotField showAll="0"/>
    <pivotField showAll="0">
      <items count="7">
        <item x="2"/>
        <item x="5"/>
        <item x="0"/>
        <item x="1"/>
        <item x="3"/>
        <item x="4"/>
        <item t="default"/>
      </items>
    </pivotField>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65" showAll="0"/>
    <pivotField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pivotFields>
  <rowFields count="1">
    <field x="3"/>
  </rowFields>
  <rowItems count="6">
    <i>
      <x v="2"/>
    </i>
    <i>
      <x v="4"/>
    </i>
    <i>
      <x v="5"/>
    </i>
    <i>
      <x v="1"/>
    </i>
    <i>
      <x v="3"/>
    </i>
    <i>
      <x/>
    </i>
  </rowItems>
  <colItems count="1">
    <i/>
  </colItems>
  <dataFields count="1">
    <dataField name="Count of Emp ID" fld="0" subtotal="count" baseField="0" baseItem="0" numFmtId="3"/>
  </dataFields>
  <formats count="2">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7D73D-52C7-4951-907A-64F502157FCE}"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27:E32" firstHeaderRow="1" firstDataRow="1" firstDataCol="1"/>
  <pivotFields count="12">
    <pivotField dataField="1" showAll="0"/>
    <pivotField showAll="0"/>
    <pivotField showAll="0">
      <items count="7">
        <item x="2"/>
        <item x="5"/>
        <item x="0"/>
        <item x="1"/>
        <item x="3"/>
        <item x="4"/>
        <item t="default"/>
      </items>
    </pivotField>
    <pivotField showAll="0"/>
    <pivotField numFmtId="165" showAll="0"/>
    <pivotField numFmtId="1" showAll="0"/>
    <pivotField numFmtId="166" showAll="0"/>
    <pivotField showAll="0"/>
    <pivotField axis="axisRow"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pivotFields>
  <rowFields count="1">
    <field x="8"/>
  </rowFields>
  <rowItems count="5">
    <i>
      <x/>
    </i>
    <i>
      <x v="1"/>
    </i>
    <i>
      <x v="2"/>
    </i>
    <i>
      <x v="3"/>
    </i>
    <i>
      <x v="4"/>
    </i>
  </rowItems>
  <colItems count="1">
    <i/>
  </colItems>
  <dataFields count="1">
    <dataField name="Employee Count" fld="0" subtotal="count" baseField="8"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DAC1A4-6F56-47C7-9654-86554909F0E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7:B13" firstHeaderRow="1" firstDataRow="1" firstDataCol="1"/>
  <pivotFields count="12">
    <pivotField showAll="0"/>
    <pivotField showAll="0"/>
    <pivotField showAll="0">
      <items count="7">
        <item x="2"/>
        <item x="5"/>
        <item x="0"/>
        <item x="1"/>
        <item x="3"/>
        <item x="4"/>
        <item t="default"/>
      </items>
    </pivotField>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65" showAll="0"/>
    <pivotField numFmtId="1" showAll="0"/>
    <pivotField dataField="1" numFmtId="166" showAll="0"/>
    <pivotField showAll="0"/>
    <pivotField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items count="112">
        <item x="4"/>
        <item x="45"/>
        <item x="76"/>
        <item x="0"/>
        <item x="32"/>
        <item x="101"/>
        <item x="30"/>
        <item x="99"/>
        <item x="73"/>
        <item x="39"/>
        <item x="48"/>
        <item x="8"/>
        <item x="35"/>
        <item x="72"/>
        <item x="10"/>
        <item x="79"/>
        <item x="18"/>
        <item x="22"/>
        <item x="67"/>
        <item x="21"/>
        <item x="56"/>
        <item x="59"/>
        <item x="97"/>
        <item x="69"/>
        <item x="92"/>
        <item x="77"/>
        <item x="25"/>
        <item x="40"/>
        <item x="16"/>
        <item x="7"/>
        <item x="62"/>
        <item x="9"/>
        <item x="17"/>
        <item x="27"/>
        <item x="105"/>
        <item x="103"/>
        <item x="51"/>
        <item x="1"/>
        <item x="106"/>
        <item x="55"/>
        <item x="2"/>
        <item x="71"/>
        <item x="41"/>
        <item x="14"/>
        <item x="60"/>
        <item x="108"/>
        <item x="88"/>
        <item x="63"/>
        <item x="42"/>
        <item x="68"/>
        <item x="26"/>
        <item x="5"/>
        <item x="90"/>
        <item x="11"/>
        <item x="24"/>
        <item x="70"/>
        <item x="57"/>
        <item x="86"/>
        <item x="81"/>
        <item x="87"/>
        <item x="100"/>
        <item x="20"/>
        <item x="34"/>
        <item x="52"/>
        <item x="75"/>
        <item x="98"/>
        <item x="13"/>
        <item x="61"/>
        <item x="107"/>
        <item x="31"/>
        <item x="53"/>
        <item x="37"/>
        <item x="109"/>
        <item x="23"/>
        <item x="38"/>
        <item x="47"/>
        <item x="74"/>
        <item x="6"/>
        <item x="3"/>
        <item x="49"/>
        <item x="36"/>
        <item x="33"/>
        <item x="96"/>
        <item x="91"/>
        <item x="83"/>
        <item x="66"/>
        <item x="29"/>
        <item x="93"/>
        <item x="89"/>
        <item x="85"/>
        <item x="12"/>
        <item x="50"/>
        <item x="19"/>
        <item x="78"/>
        <item x="58"/>
        <item x="65"/>
        <item x="80"/>
        <item x="82"/>
        <item x="102"/>
        <item x="54"/>
        <item x="15"/>
        <item x="46"/>
        <item x="95"/>
        <item x="94"/>
        <item x="84"/>
        <item x="110"/>
        <item x="64"/>
        <item x="104"/>
        <item x="44"/>
        <item x="28"/>
        <item x="43"/>
        <item t="default"/>
      </items>
    </pivotField>
  </pivotFields>
  <rowFields count="1">
    <field x="3"/>
  </rowFields>
  <rowItems count="6">
    <i>
      <x v="1"/>
    </i>
    <i>
      <x v="2"/>
    </i>
    <i>
      <x v="5"/>
    </i>
    <i>
      <x v="4"/>
    </i>
    <i>
      <x v="3"/>
    </i>
    <i>
      <x/>
    </i>
  </rowItems>
  <colItems count="1">
    <i/>
  </colItems>
  <dataFields count="1">
    <dataField name="Average Salary " fld="6" subtotal="average" baseField="3" baseItem="1"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7C5250-BCD8-43E0-915F-9ED2DCC8DA84}"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2:B35" firstHeaderRow="1" firstDataRow="1" firstDataCol="1"/>
  <pivotFields count="12">
    <pivotField dataField="1" showAll="0"/>
    <pivotField showAll="0"/>
    <pivotField showAll="0">
      <items count="7">
        <item x="2"/>
        <item x="5"/>
        <item x="0"/>
        <item x="1"/>
        <item x="3"/>
        <item x="4"/>
        <item t="default"/>
      </items>
    </pivotField>
    <pivotField showAll="0"/>
    <pivotField numFmtId="165" showAll="0"/>
    <pivotField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axis="axisRow" showAll="0">
      <items count="4">
        <item x="0"/>
        <item x="1"/>
        <item x="2"/>
        <item t="default"/>
      </items>
    </pivotField>
    <pivotField numFmtId="166" showAll="0"/>
  </pivotFields>
  <rowFields count="1">
    <field x="10"/>
  </rowFields>
  <rowItems count="3">
    <i>
      <x/>
    </i>
    <i>
      <x v="1"/>
    </i>
    <i>
      <x v="2"/>
    </i>
  </rowItems>
  <colItems count="1">
    <i/>
  </colItems>
  <dataFields count="1">
    <dataField name="Count of Emp ID" fld="0" subtotal="count" baseField="0" baseItem="0" numFmtId="1"/>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989EC7-E1A3-4B1C-8C19-9FC5F288830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16:E21" firstHeaderRow="1" firstDataRow="1" firstDataCol="1"/>
  <pivotFields count="12">
    <pivotField showAll="0"/>
    <pivotField showAll="0"/>
    <pivotField showAll="0"/>
    <pivotField showAll="0"/>
    <pivotField numFmtId="165" showAll="0"/>
    <pivotField numFmtId="1" showAll="0"/>
    <pivotField numFmtId="166" showAll="0"/>
    <pivotField showAll="0"/>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numFmtId="9" showAll="0">
      <items count="6">
        <item x="2"/>
        <item x="0"/>
        <item x="1"/>
        <item x="3"/>
        <item x="4"/>
        <item t="default"/>
      </items>
    </pivotField>
    <pivotField showAll="0">
      <items count="4">
        <item x="0"/>
        <item x="1"/>
        <item x="2"/>
        <item t="default"/>
      </items>
    </pivotField>
    <pivotField dataField="1" numFmtId="166" showAll="0"/>
  </pivotFields>
  <rowFields count="1">
    <field x="8"/>
  </rowFields>
  <rowItems count="5">
    <i>
      <x/>
    </i>
    <i>
      <x v="2"/>
    </i>
    <i>
      <x v="4"/>
    </i>
    <i>
      <x v="1"/>
    </i>
    <i>
      <x v="3"/>
    </i>
  </rowItems>
  <colItems count="1">
    <i/>
  </colItems>
  <dataFields count="1">
    <dataField name="Sum of Bonus Amount" fld="11" baseField="0" baseItem="0" numFmtId="166"/>
  </dataFields>
  <formats count="2">
    <format dxfId="11">
      <pivotArea outline="0" collapsedLevelsAreSubtotals="1" fieldPosition="0"/>
    </format>
    <format dxfId="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92EEE9-2A69-4091-A0D4-0C134374260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K15:P22" firstHeaderRow="1" firstDataRow="2" firstDataCol="1"/>
  <pivotFields count="12">
    <pivotField dataField="1" showAll="0"/>
    <pivotField showAll="0"/>
    <pivotField showAll="0">
      <items count="7">
        <item x="2"/>
        <item x="5"/>
        <item x="0"/>
        <item x="1"/>
        <item x="3"/>
        <item x="4"/>
        <item t="default"/>
      </items>
    </pivotField>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65" showAll="0"/>
    <pivotField numFmtId="1" showAll="0"/>
    <pivotField numFmtId="166" showAll="0"/>
    <pivotField showAll="0"/>
    <pivotField axis="axisCol"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pivotFields>
  <rowFields count="1">
    <field x="3"/>
  </rowFields>
  <rowItems count="6">
    <i>
      <x v="2"/>
    </i>
    <i>
      <x v="4"/>
    </i>
    <i>
      <x v="5"/>
    </i>
    <i>
      <x v="1"/>
    </i>
    <i>
      <x v="3"/>
    </i>
    <i>
      <x/>
    </i>
  </rowItems>
  <colFields count="1">
    <field x="8"/>
  </colFields>
  <colItems count="5">
    <i>
      <x/>
    </i>
    <i>
      <x v="1"/>
    </i>
    <i>
      <x v="2"/>
    </i>
    <i>
      <x v="3"/>
    </i>
    <i>
      <x v="4"/>
    </i>
  </colItems>
  <dataFields count="1">
    <dataField name="Count of Emp ID" fld="0" subtotal="count" baseField="0" baseItem="0" numFmtId="3"/>
  </dataFields>
  <formats count="2">
    <format dxfId="13">
      <pivotArea dataOnly="0" labelOnly="1" outline="0" axis="axisValues" fieldPosition="0"/>
    </format>
    <format dxfId="12">
      <pivotArea outline="0" collapsedLevelsAreSubtotals="1" fieldPosition="0"/>
    </format>
  </formats>
  <chartFormats count="27">
    <chartFormat chart="6" format="10" series="1">
      <pivotArea type="data" outline="0" fieldPosition="0">
        <references count="2">
          <reference field="4294967294" count="1" selected="0">
            <x v="0"/>
          </reference>
          <reference field="8" count="1" selected="0">
            <x v="0"/>
          </reference>
        </references>
      </pivotArea>
    </chartFormat>
    <chartFormat chart="6" format="11" series="1">
      <pivotArea type="data" outline="0" fieldPosition="0">
        <references count="2">
          <reference field="4294967294" count="1" selected="0">
            <x v="0"/>
          </reference>
          <reference field="8" count="1" selected="0">
            <x v="1"/>
          </reference>
        </references>
      </pivotArea>
    </chartFormat>
    <chartFormat chart="6" format="12" series="1">
      <pivotArea type="data" outline="0" fieldPosition="0">
        <references count="2">
          <reference field="4294967294" count="1" selected="0">
            <x v="0"/>
          </reference>
          <reference field="8" count="1" selected="0">
            <x v="2"/>
          </reference>
        </references>
      </pivotArea>
    </chartFormat>
    <chartFormat chart="6" format="13" series="1">
      <pivotArea type="data" outline="0" fieldPosition="0">
        <references count="2">
          <reference field="4294967294" count="1" selected="0">
            <x v="0"/>
          </reference>
          <reference field="8" count="1" selected="0">
            <x v="3"/>
          </reference>
        </references>
      </pivotArea>
    </chartFormat>
    <chartFormat chart="6" format="14" series="1">
      <pivotArea type="data" outline="0" fieldPosition="0">
        <references count="2">
          <reference field="4294967294" count="1" selected="0">
            <x v="0"/>
          </reference>
          <reference field="8" count="1" selected="0">
            <x v="4"/>
          </reference>
        </references>
      </pivotArea>
    </chartFormat>
    <chartFormat chart="6" format="15">
      <pivotArea type="data" outline="0" fieldPosition="0">
        <references count="3">
          <reference field="4294967294" count="1" selected="0">
            <x v="0"/>
          </reference>
          <reference field="3" count="1" selected="0">
            <x v="0"/>
          </reference>
          <reference field="8" count="1" selected="0">
            <x v="1"/>
          </reference>
        </references>
      </pivotArea>
    </chartFormat>
    <chartFormat chart="6" format="16">
      <pivotArea type="data" outline="0" fieldPosition="0">
        <references count="3">
          <reference field="4294967294" count="1" selected="0">
            <x v="0"/>
          </reference>
          <reference field="3" count="1" selected="0">
            <x v="0"/>
          </reference>
          <reference field="8" count="1" selected="0">
            <x v="0"/>
          </reference>
        </references>
      </pivotArea>
    </chartFormat>
    <chartFormat chart="10" format="10"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1"/>
          </reference>
        </references>
      </pivotArea>
    </chartFormat>
    <chartFormat chart="10" format="12" series="1">
      <pivotArea type="data" outline="0" fieldPosition="0">
        <references count="2">
          <reference field="4294967294" count="1" selected="0">
            <x v="0"/>
          </reference>
          <reference field="8" count="1" selected="0">
            <x v="2"/>
          </reference>
        </references>
      </pivotArea>
    </chartFormat>
    <chartFormat chart="10" format="13" series="1">
      <pivotArea type="data" outline="0" fieldPosition="0">
        <references count="2">
          <reference field="4294967294" count="1" selected="0">
            <x v="0"/>
          </reference>
          <reference field="8" count="1" selected="0">
            <x v="3"/>
          </reference>
        </references>
      </pivotArea>
    </chartFormat>
    <chartFormat chart="10" format="14" series="1">
      <pivotArea type="data" outline="0" fieldPosition="0">
        <references count="2">
          <reference field="4294967294" count="1" selected="0">
            <x v="0"/>
          </reference>
          <reference field="8" count="1" selected="0">
            <x v="4"/>
          </reference>
        </references>
      </pivotArea>
    </chartFormat>
    <chartFormat chart="12" format="20" series="1">
      <pivotArea type="data" outline="0" fieldPosition="0">
        <references count="2">
          <reference field="4294967294" count="1" selected="0">
            <x v="0"/>
          </reference>
          <reference field="8" count="1" selected="0">
            <x v="0"/>
          </reference>
        </references>
      </pivotArea>
    </chartFormat>
    <chartFormat chart="12" format="21" series="1">
      <pivotArea type="data" outline="0" fieldPosition="0">
        <references count="2">
          <reference field="4294967294" count="1" selected="0">
            <x v="0"/>
          </reference>
          <reference field="8" count="1" selected="0">
            <x v="1"/>
          </reference>
        </references>
      </pivotArea>
    </chartFormat>
    <chartFormat chart="12" format="22" series="1">
      <pivotArea type="data" outline="0" fieldPosition="0">
        <references count="2">
          <reference field="4294967294" count="1" selected="0">
            <x v="0"/>
          </reference>
          <reference field="8" count="1" selected="0">
            <x v="2"/>
          </reference>
        </references>
      </pivotArea>
    </chartFormat>
    <chartFormat chart="12" format="23" series="1">
      <pivotArea type="data" outline="0" fieldPosition="0">
        <references count="2">
          <reference field="4294967294" count="1" selected="0">
            <x v="0"/>
          </reference>
          <reference field="8" count="1" selected="0">
            <x v="3"/>
          </reference>
        </references>
      </pivotArea>
    </chartFormat>
    <chartFormat chart="12" format="24" series="1">
      <pivotArea type="data" outline="0" fieldPosition="0">
        <references count="2">
          <reference field="4294967294" count="1" selected="0">
            <x v="0"/>
          </reference>
          <reference field="8" count="1" selected="0">
            <x v="4"/>
          </reference>
        </references>
      </pivotArea>
    </chartFormat>
    <chartFormat chart="12" format="25">
      <pivotArea type="data" outline="0" fieldPosition="0">
        <references count="3">
          <reference field="4294967294" count="1" selected="0">
            <x v="0"/>
          </reference>
          <reference field="3" count="1" selected="0">
            <x v="0"/>
          </reference>
          <reference field="8" count="1" selected="0">
            <x v="3"/>
          </reference>
        </references>
      </pivotArea>
    </chartFormat>
    <chartFormat chart="12" format="26">
      <pivotArea type="data" outline="0" fieldPosition="0">
        <references count="3">
          <reference field="4294967294" count="1" selected="0">
            <x v="0"/>
          </reference>
          <reference field="3" count="1" selected="0">
            <x v="4"/>
          </reference>
          <reference field="8" count="1" selected="0">
            <x v="1"/>
          </reference>
        </references>
      </pivotArea>
    </chartFormat>
    <chartFormat chart="12" format="27">
      <pivotArea type="data" outline="0" fieldPosition="0">
        <references count="3">
          <reference field="4294967294" count="1" selected="0">
            <x v="0"/>
          </reference>
          <reference field="3" count="1" selected="0">
            <x v="2"/>
          </reference>
          <reference field="8" count="1" selected="0">
            <x v="3"/>
          </reference>
        </references>
      </pivotArea>
    </chartFormat>
    <chartFormat chart="12" format="28">
      <pivotArea type="data" outline="0" fieldPosition="0">
        <references count="3">
          <reference field="4294967294" count="1" selected="0">
            <x v="0"/>
          </reference>
          <reference field="3" count="1" selected="0">
            <x v="4"/>
          </reference>
          <reference field="8" count="1" selected="0">
            <x v="3"/>
          </reference>
        </references>
      </pivotArea>
    </chartFormat>
    <chartFormat chart="12" format="29">
      <pivotArea type="data" outline="0" fieldPosition="0">
        <references count="3">
          <reference field="4294967294" count="1" selected="0">
            <x v="0"/>
          </reference>
          <reference field="3" count="1" selected="0">
            <x v="5"/>
          </reference>
          <reference field="8" count="1" selected="0">
            <x v="3"/>
          </reference>
        </references>
      </pivotArea>
    </chartFormat>
    <chartFormat chart="12" format="30">
      <pivotArea type="data" outline="0" fieldPosition="0">
        <references count="3">
          <reference field="4294967294" count="1" selected="0">
            <x v="0"/>
          </reference>
          <reference field="3" count="1" selected="0">
            <x v="1"/>
          </reference>
          <reference field="8" count="1" selected="0">
            <x v="3"/>
          </reference>
        </references>
      </pivotArea>
    </chartFormat>
    <chartFormat chart="12" format="31">
      <pivotArea type="data" outline="0" fieldPosition="0">
        <references count="3">
          <reference field="4294967294" count="1" selected="0">
            <x v="0"/>
          </reference>
          <reference field="3" count="1" selected="0">
            <x v="3"/>
          </reference>
          <reference field="8" count="1" selected="0">
            <x v="3"/>
          </reference>
        </references>
      </pivotArea>
    </chartFormat>
    <chartFormat chart="12" format="32"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2A4B46-5731-4C5B-A6C8-595696127EA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7:B20" firstHeaderRow="1" firstDataRow="1" firstDataCol="1"/>
  <pivotFields count="12">
    <pivotField showAll="0"/>
    <pivotField showAll="0"/>
    <pivotField showAll="0">
      <items count="7">
        <item x="2"/>
        <item x="5"/>
        <item x="0"/>
        <item x="1"/>
        <item x="3"/>
        <item x="4"/>
        <item t="default"/>
      </items>
    </pivotField>
    <pivotField showAll="0"/>
    <pivotField numFmtId="165" showAll="0"/>
    <pivotField numFmtId="1" showAll="0"/>
    <pivotField numFmtId="166" showAll="0"/>
    <pivotField dataField="1" showAll="0"/>
    <pivotField showAll="0">
      <items count="6">
        <item x="1"/>
        <item x="0"/>
        <item x="3"/>
        <item x="2"/>
        <item x="4"/>
        <item t="default"/>
      </items>
    </pivotField>
    <pivotField numFmtId="9" showAll="0">
      <items count="6">
        <item x="2"/>
        <item x="0"/>
        <item x="1"/>
        <item x="3"/>
        <item x="4"/>
        <item t="default"/>
      </items>
    </pivotField>
    <pivotField axis="axisRow" showAll="0">
      <items count="4">
        <item x="0"/>
        <item x="1"/>
        <item x="2"/>
        <item t="default"/>
      </items>
    </pivotField>
    <pivotField numFmtId="166" showAll="0"/>
  </pivotFields>
  <rowFields count="1">
    <field x="10"/>
  </rowFields>
  <rowItems count="3">
    <i>
      <x/>
    </i>
    <i>
      <x v="1"/>
    </i>
    <i>
      <x v="2"/>
    </i>
  </rowItems>
  <colItems count="1">
    <i/>
  </colItems>
  <dataFields count="1">
    <dataField name="Average of Perf_Score" fld="7" subtotal="average" baseField="10" baseItem="0" numFmtId="167"/>
  </dataFields>
  <formats count="2">
    <format dxfId="15">
      <pivotArea collapsedLevelsAreSubtotals="1" fieldPosition="0">
        <references count="1">
          <reference field="10" count="1">
            <x v="0"/>
          </reference>
        </references>
      </pivotArea>
    </format>
    <format dxfId="14">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B944E8-02A8-422C-940B-0839190422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3:D24" firstHeaderRow="1" firstDataRow="1" firstDataCol="0"/>
  <pivotFields count="12">
    <pivotField showAll="0"/>
    <pivotField showAll="0"/>
    <pivotField showAll="0">
      <items count="7">
        <item x="2"/>
        <item x="5"/>
        <item x="0"/>
        <item x="1"/>
        <item x="3"/>
        <item x="4"/>
        <item t="default"/>
      </items>
    </pivotField>
    <pivotField showAll="0"/>
    <pivotField numFmtId="165" showAll="0"/>
    <pivotField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dataField="1" numFmtId="166" showAll="0"/>
  </pivotFields>
  <rowItems count="1">
    <i/>
  </rowItems>
  <colItems count="1">
    <i/>
  </colItems>
  <dataFields count="1">
    <dataField name="Total Bonus Payout"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2AB05E-1203-4C8F-B378-AE1D82B9000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H25" firstHeaderRow="1" firstDataRow="1" firstDataCol="0"/>
  <pivotFields count="12">
    <pivotField showAll="0"/>
    <pivotField showAll="0"/>
    <pivotField showAll="0">
      <items count="7">
        <item x="2"/>
        <item x="5"/>
        <item x="0"/>
        <item x="1"/>
        <item x="3"/>
        <item x="4"/>
        <item t="default"/>
      </items>
    </pivotField>
    <pivotField showAll="0"/>
    <pivotField numFmtId="165" showAll="0"/>
    <pivotField numFmtId="1" showAll="0"/>
    <pivotField numFmtId="166" showAll="0"/>
    <pivotField dataField="1" showAll="0"/>
    <pivotField showAll="0">
      <items count="6">
        <item x="1"/>
        <item x="0"/>
        <item x="3"/>
        <item x="2"/>
        <item x="4"/>
        <item t="default"/>
      </items>
    </pivotField>
    <pivotField numFmtId="9" showAll="0">
      <items count="6">
        <item x="2"/>
        <item x="0"/>
        <item x="1"/>
        <item x="3"/>
        <item x="4"/>
        <item t="default"/>
      </items>
    </pivotField>
    <pivotField showAll="0">
      <items count="4">
        <item x="0"/>
        <item x="1"/>
        <item x="2"/>
        <item t="default"/>
      </items>
    </pivotField>
    <pivotField numFmtId="166" showAll="0"/>
  </pivotFields>
  <rowItems count="1">
    <i/>
  </rowItems>
  <colItems count="1">
    <i/>
  </colItems>
  <dataFields count="1">
    <dataField name="Average of Perf_Score" fld="7" subtotal="average" baseField="0" baseItem="0" numFmtId="2"/>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940B21-E5F1-4B78-9A37-27A3DCB86B1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24:B27" firstHeaderRow="1" firstDataRow="1" firstDataCol="1"/>
  <pivotFields count="12">
    <pivotField dataField="1" showAll="0"/>
    <pivotField showAll="0"/>
    <pivotField showAll="0">
      <items count="7">
        <item x="2"/>
        <item x="5"/>
        <item x="0"/>
        <item x="1"/>
        <item x="3"/>
        <item x="4"/>
        <item t="default"/>
      </items>
    </pivotField>
    <pivotField showAll="0"/>
    <pivotField numFmtId="165" showAll="0"/>
    <pivotField numFmtId="1" showAll="0"/>
    <pivotField numFmtId="166" showAll="0"/>
    <pivotField showAll="0"/>
    <pivotField showAll="0">
      <items count="6">
        <item x="1"/>
        <item x="0"/>
        <item x="3"/>
        <item x="2"/>
        <item x="4"/>
        <item t="default"/>
      </items>
    </pivotField>
    <pivotField numFmtId="9" showAll="0">
      <items count="6">
        <item x="2"/>
        <item x="0"/>
        <item x="1"/>
        <item x="3"/>
        <item x="4"/>
        <item t="default"/>
      </items>
    </pivotField>
    <pivotField axis="axisRow" showAll="0">
      <items count="4">
        <item x="0"/>
        <item x="1"/>
        <item x="2"/>
        <item t="default"/>
      </items>
    </pivotField>
    <pivotField numFmtId="166" showAll="0"/>
  </pivotFields>
  <rowFields count="1">
    <field x="10"/>
  </rowFields>
  <rowItems count="3">
    <i>
      <x/>
    </i>
    <i>
      <x v="1"/>
    </i>
    <i>
      <x v="2"/>
    </i>
  </rowItems>
  <colItems count="1">
    <i/>
  </colItems>
  <dataFields count="1">
    <dataField name="Count of Emp ID" fld="0" subtotal="count" showDataAs="percentOfTotal" baseField="10" baseItem="0" numFmtId="9"/>
  </dataFields>
  <formats count="1">
    <format dxfId="19">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0"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ED392CCF-FFE7-412F-8F04-47B974B115A5}" sourceName="Employment Status">
  <pivotTables>
    <pivotTable tabId="7" name="PivotTable2"/>
    <pivotTable tabId="7" name="PivotTable1"/>
    <pivotTable tabId="7" name="PivotTable10"/>
    <pivotTable tabId="7" name="PivotTable13"/>
    <pivotTable tabId="7" name="PivotTable14"/>
    <pivotTable tabId="7" name="PivotTable16"/>
    <pivotTable tabId="7" name="PivotTable3"/>
    <pivotTable tabId="7" name="PivotTable4"/>
    <pivotTable tabId="7" name="PivotTable5"/>
    <pivotTable tabId="7" name="PivotTable6"/>
    <pivotTable tabId="7" name="PivotTable7"/>
    <pivotTable tabId="7" name="PivotTable8"/>
    <pivotTable tabId="7" name="PivotTable11"/>
  </pivotTables>
  <data>
    <tabular pivotCacheId="4031772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D7C18A36-CB85-4F53-9A2D-F5D475AD14EF}" sourceName="Performance_Band">
  <pivotTables>
    <pivotTable tabId="7" name="PivotTable2"/>
    <pivotTable tabId="7" name="PivotTable1"/>
    <pivotTable tabId="7" name="PivotTable10"/>
    <pivotTable tabId="7" name="PivotTable13"/>
    <pivotTable tabId="7" name="PivotTable14"/>
    <pivotTable tabId="7" name="PivotTable16"/>
    <pivotTable tabId="7" name="PivotTable3"/>
    <pivotTable tabId="7" name="PivotTable4"/>
    <pivotTable tabId="7" name="PivotTable5"/>
    <pivotTable tabId="7" name="PivotTable6"/>
    <pivotTable tabId="7" name="PivotTable7"/>
    <pivotTable tabId="7" name="PivotTable8"/>
    <pivotTable tabId="7" name="PivotTable11"/>
  </pivotTables>
  <data>
    <tabular pivotCacheId="403177266">
      <items count="5">
        <i x="1"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nus_Percentage" xr10:uid="{30519E96-51B5-4D23-8B6D-C59DC945D9DE}" sourceName="Bonus_Percentage">
  <pivotTables>
    <pivotTable tabId="7" name="PivotTable2"/>
    <pivotTable tabId="7" name="PivotTable1"/>
    <pivotTable tabId="7" name="PivotTable10"/>
    <pivotTable tabId="7" name="PivotTable13"/>
    <pivotTable tabId="7" name="PivotTable14"/>
    <pivotTable tabId="7" name="PivotTable16"/>
    <pivotTable tabId="7" name="PivotTable3"/>
    <pivotTable tabId="7" name="PivotTable4"/>
    <pivotTable tabId="7" name="PivotTable5"/>
    <pivotTable tabId="7" name="PivotTable6"/>
    <pivotTable tabId="7" name="PivotTable7"/>
    <pivotTable tabId="7" name="PivotTable8"/>
    <pivotTable tabId="7" name="PivotTable11"/>
  </pivotTables>
  <data>
    <tabular pivotCacheId="403177266">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Code" xr10:uid="{61EE4321-1D00-45D3-A0F0-6163CB487501}" sourceName="Dept Code">
  <pivotTables>
    <pivotTable tabId="7" name="PivotTable3"/>
    <pivotTable tabId="7" name="PivotTable1"/>
    <pivotTable tabId="7" name="PivotTable10"/>
    <pivotTable tabId="7" name="PivotTable13"/>
    <pivotTable tabId="7" name="PivotTable14"/>
    <pivotTable tabId="7" name="PivotTable16"/>
    <pivotTable tabId="7" name="PivotTable2"/>
    <pivotTable tabId="7" name="PivotTable4"/>
    <pivotTable tabId="7" name="PivotTable6"/>
    <pivotTable tabId="7" name="PivotTable7"/>
    <pivotTable tabId="7" name="PivotTable8"/>
    <pivotTable tabId="7" name="PivotTable11"/>
  </pivotTables>
  <data>
    <tabular pivotCacheId="403177266">
      <items count="6">
        <i x="2" s="1"/>
        <i x="5"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1" xr10:uid="{CF5340FA-10F9-410E-8DC1-D476AD5BA5A3}" cache="Slicer_Employment_Status" caption="Employment Status" rowHeight="241300"/>
  <slicer name="Performance_Band 1" xr10:uid="{F6B115DC-35DC-4992-A5FB-835C992578C3}" cache="Slicer_Performance_Band" caption="Performance_Band" columnCount="2" rowHeight="241300"/>
  <slicer name="Bonus_Percentage 1" xr10:uid="{3C7A1559-2201-48C4-A15D-EB95D4393C64}" cache="Slicer_Bonus_Percentage" caption="Bonus_Percentage" columnCount="2" rowHeight="241300"/>
  <slicer name="Dept Code 1" xr10:uid="{356B0BD0-0708-43C8-BED1-D22935194CE5}" cache="Slicer_Dept_Code" caption="Dept Cod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C56EA-442E-41CA-A5C4-04B6CE1BB219}" name="Table1" displayName="Table1" ref="A1:L151" totalsRowShown="0" headerRowBorderDxfId="5" tableBorderDxfId="4">
  <autoFilter ref="A1:L151" xr:uid="{02BC56EA-442E-41CA-A5C4-04B6CE1BB219}"/>
  <tableColumns count="12">
    <tableColumn id="1" xr3:uid="{B2F19122-5268-4CF2-A0A0-FD7850227903}" name="Emp ID"/>
    <tableColumn id="2" xr3:uid="{7838511B-5182-469F-9658-1C999EC6DDB4}" name="Names">
      <calculatedColumnFormula>CONCATENATE(Raw_Employee_Data!B2," ",Raw_Employee_Data!C2)</calculatedColumnFormula>
    </tableColumn>
    <tableColumn id="3" xr3:uid="{2CC71A37-8C3F-4B7E-9397-E702B182C370}" name="Dept Code">
      <calculatedColumnFormula>UPPER(TRIM(Raw_Employee_Data!D1:D158))</calculatedColumnFormula>
    </tableColumn>
    <tableColumn id="4" xr3:uid="{321E04EF-A502-469A-A93A-AFE6964FB84C}" name="Department_Name">
      <calculatedColumnFormula>VLOOKUP(C2,Lookup_Departments!$A$1:$B$7,2,)</calculatedColumnFormula>
    </tableColumn>
    <tableColumn id="5" xr3:uid="{9471E269-C415-49F5-A199-58BF81A697B8}" name="Hire Date" dataDxfId="3"/>
    <tableColumn id="6" xr3:uid="{8E399011-0E1A-4F68-83C8-CAF84856EAB4}" name="Years of Service" dataDxfId="2">
      <calculatedColumnFormula>YEARFRAC(E2,TODAY())</calculatedColumnFormula>
    </tableColumn>
    <tableColumn id="7" xr3:uid="{7D403190-930F-4DDB-A165-AC8A3F437F1D}" name="Salary" dataDxfId="1"/>
    <tableColumn id="8" xr3:uid="{1530F852-08A3-4A4C-B065-6B1B9D5C5C25}" name="Perf_Score"/>
    <tableColumn id="9" xr3:uid="{E424B0D1-E508-408D-A061-6C7AD2600186}" name="Performance_Band">
      <calculatedColumnFormula>VLOOKUP(H2,Lookup_Performance!$A$1:$D$6,3)</calculatedColumnFormula>
    </tableColumn>
    <tableColumn id="10" xr3:uid="{47A0CAC0-31D9-4A9C-9011-971CAC573F8C}" name="Bonus_Percentage" dataDxfId="0">
      <calculatedColumnFormula>VLOOKUP(H2,Lookup_Performance!$A$1:$D$6,4)</calculatedColumnFormula>
    </tableColumn>
    <tableColumn id="11" xr3:uid="{0CF68820-7B29-4CF3-A741-CDF4F4685359}" name="Employment Status">
      <calculatedColumnFormula>PROPER(TRIM(Raw_Employee_Data!H1:H158))</calculatedColumnFormula>
    </tableColumn>
    <tableColumn id="12" xr3:uid="{3497B72C-FD4A-485E-BE5A-BC3981229871}" name="Bonus Amount">
      <calculatedColumnFormula>Table1[[#This Row],[Salary]]*Table1[[#This Row],[Bonus_Percentage]]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88760-EF8F-4B23-BBCC-E90C13A343BD}">
  <dimension ref="A1:A4"/>
  <sheetViews>
    <sheetView showGridLines="0" tabSelected="1" zoomScale="70" zoomScaleNormal="70" workbookViewId="0">
      <selection activeCell="AA20" sqref="AA20"/>
    </sheetView>
  </sheetViews>
  <sheetFormatPr defaultRowHeight="15" x14ac:dyDescent="0.25"/>
  <cols>
    <col min="8" max="8" width="8.85546875" customWidth="1"/>
  </cols>
  <sheetData>
    <row r="1" customFormat="1" x14ac:dyDescent="0.25"/>
    <row r="2" customFormat="1" x14ac:dyDescent="0.25"/>
    <row r="3" customFormat="1" x14ac:dyDescent="0.25"/>
    <row r="4"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CD21-5CCC-41ED-9D2C-C1BF9F0EA72F}">
  <dimension ref="A1"/>
  <sheetViews>
    <sheetView topLeftCell="A2" zoomScale="55" zoomScaleNormal="55" workbookViewId="0">
      <selection activeCell="T22" sqref="A1:XFD1048576"/>
    </sheetView>
  </sheetViews>
  <sheetFormatPr defaultRowHeight="15.75" x14ac:dyDescent="0.25"/>
  <cols>
    <col min="1" max="16384" width="9.140625" style="26"/>
  </cols>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B1AD-6601-417B-9989-C82B157A04CF}">
  <dimension ref="A2:P35"/>
  <sheetViews>
    <sheetView zoomScale="59" zoomScaleNormal="59" workbookViewId="0">
      <selection activeCell="W7" sqref="W7"/>
    </sheetView>
  </sheetViews>
  <sheetFormatPr defaultRowHeight="15" x14ac:dyDescent="0.25"/>
  <cols>
    <col min="1" max="1" width="20" bestFit="1" customWidth="1"/>
    <col min="2" max="2" width="22.85546875" bestFit="1" customWidth="1"/>
    <col min="3" max="3" width="16.28515625" bestFit="1" customWidth="1"/>
    <col min="4" max="4" width="27.5703125" bestFit="1" customWidth="1"/>
    <col min="5" max="5" width="30.7109375" bestFit="1" customWidth="1"/>
    <col min="6" max="6" width="6.85546875" bestFit="1" customWidth="1"/>
    <col min="7" max="7" width="13.42578125" bestFit="1" customWidth="1"/>
    <col min="8" max="8" width="26" bestFit="1" customWidth="1"/>
    <col min="9" max="9" width="22.85546875" bestFit="1" customWidth="1"/>
    <col min="10" max="10" width="15.28515625" bestFit="1" customWidth="1"/>
    <col min="11" max="11" width="26" bestFit="1" customWidth="1"/>
    <col min="12" max="12" width="24.28515625" bestFit="1" customWidth="1"/>
    <col min="13" max="13" width="15.85546875" bestFit="1" customWidth="1"/>
    <col min="14" max="14" width="14.42578125" bestFit="1" customWidth="1"/>
    <col min="15" max="15" width="27.28515625" bestFit="1" customWidth="1"/>
    <col min="16" max="16" width="17.140625" bestFit="1" customWidth="1"/>
    <col min="17" max="17" width="16.85546875" bestFit="1" customWidth="1"/>
    <col min="18" max="150" width="16.28515625" bestFit="1" customWidth="1"/>
    <col min="151" max="151" width="11.28515625" bestFit="1" customWidth="1"/>
  </cols>
  <sheetData>
    <row r="2" spans="1:16" x14ac:dyDescent="0.25">
      <c r="A2" s="25" t="s">
        <v>310</v>
      </c>
      <c r="B2" s="25"/>
      <c r="D2" s="25" t="s">
        <v>311</v>
      </c>
      <c r="E2" s="25"/>
      <c r="K2" s="25" t="s">
        <v>323</v>
      </c>
      <c r="L2" s="25"/>
    </row>
    <row r="3" spans="1:16" x14ac:dyDescent="0.25">
      <c r="A3" t="s">
        <v>309</v>
      </c>
      <c r="D3" s="14" t="s">
        <v>307</v>
      </c>
      <c r="E3" s="14" t="s">
        <v>308</v>
      </c>
      <c r="I3" s="20"/>
      <c r="K3" s="14" t="s">
        <v>305</v>
      </c>
      <c r="L3" t="s">
        <v>318</v>
      </c>
    </row>
    <row r="4" spans="1:16" x14ac:dyDescent="0.25">
      <c r="A4" s="16">
        <v>150</v>
      </c>
      <c r="B4">
        <f>GETPIVOTDATA("Emp ID",$A$3)</f>
        <v>150</v>
      </c>
      <c r="D4" s="14" t="s">
        <v>305</v>
      </c>
      <c r="E4" t="s">
        <v>45</v>
      </c>
      <c r="F4" t="s">
        <v>30</v>
      </c>
      <c r="G4" t="s">
        <v>115</v>
      </c>
      <c r="H4" t="s">
        <v>306</v>
      </c>
      <c r="I4" s="20" t="s">
        <v>311</v>
      </c>
      <c r="K4" s="15" t="s">
        <v>290</v>
      </c>
      <c r="L4" s="18">
        <v>6.7769607843137258</v>
      </c>
    </row>
    <row r="5" spans="1:16" x14ac:dyDescent="0.25">
      <c r="D5" s="15" t="s">
        <v>290</v>
      </c>
      <c r="E5" s="16">
        <v>14</v>
      </c>
      <c r="F5" s="16">
        <v>3</v>
      </c>
      <c r="G5" s="16"/>
      <c r="H5" s="16">
        <v>17</v>
      </c>
      <c r="I5" s="7">
        <f t="shared" ref="I5:I10" si="0">F5/H5</f>
        <v>0.17647058823529413</v>
      </c>
      <c r="K5" s="15" t="s">
        <v>288</v>
      </c>
      <c r="L5" s="18">
        <v>7.560802469135802</v>
      </c>
    </row>
    <row r="6" spans="1:16" x14ac:dyDescent="0.25">
      <c r="D6" s="15" t="s">
        <v>288</v>
      </c>
      <c r="E6" s="16">
        <v>15</v>
      </c>
      <c r="F6" s="16">
        <v>2</v>
      </c>
      <c r="G6" s="16">
        <v>1</v>
      </c>
      <c r="H6" s="16">
        <v>18</v>
      </c>
      <c r="I6" s="7">
        <f t="shared" si="0"/>
        <v>0.1111111111111111</v>
      </c>
      <c r="K6" s="15" t="s">
        <v>289</v>
      </c>
      <c r="L6" s="18">
        <v>7.1072530864197523</v>
      </c>
    </row>
    <row r="7" spans="1:16" x14ac:dyDescent="0.25">
      <c r="A7" s="14" t="s">
        <v>305</v>
      </c>
      <c r="B7" t="s">
        <v>326</v>
      </c>
      <c r="D7" s="15" t="s">
        <v>289</v>
      </c>
      <c r="E7" s="16">
        <v>28</v>
      </c>
      <c r="F7" s="16">
        <v>6</v>
      </c>
      <c r="G7" s="16">
        <v>2</v>
      </c>
      <c r="H7" s="16">
        <v>36</v>
      </c>
      <c r="I7" s="7">
        <f t="shared" si="0"/>
        <v>0.16666666666666666</v>
      </c>
      <c r="K7" s="15" t="s">
        <v>291</v>
      </c>
      <c r="L7" s="18">
        <v>6.6296296296296306</v>
      </c>
    </row>
    <row r="8" spans="1:16" x14ac:dyDescent="0.25">
      <c r="A8" s="15" t="s">
        <v>288</v>
      </c>
      <c r="B8" s="6">
        <v>85969.833333333328</v>
      </c>
      <c r="D8" s="15" t="s">
        <v>291</v>
      </c>
      <c r="E8" s="16">
        <v>15</v>
      </c>
      <c r="F8" s="16">
        <v>3</v>
      </c>
      <c r="G8" s="16"/>
      <c r="H8" s="16">
        <v>18</v>
      </c>
      <c r="I8" s="7">
        <f t="shared" si="0"/>
        <v>0.16666666666666666</v>
      </c>
      <c r="K8" s="15" t="s">
        <v>293</v>
      </c>
      <c r="L8" s="18">
        <v>6.7363799283154133</v>
      </c>
    </row>
    <row r="9" spans="1:16" x14ac:dyDescent="0.25">
      <c r="A9" s="15" t="s">
        <v>289</v>
      </c>
      <c r="B9" s="6">
        <v>85159.25</v>
      </c>
      <c r="D9" s="15" t="s">
        <v>293</v>
      </c>
      <c r="E9" s="16">
        <v>21</v>
      </c>
      <c r="F9" s="16">
        <v>5</v>
      </c>
      <c r="G9" s="16">
        <v>5</v>
      </c>
      <c r="H9" s="16">
        <v>31</v>
      </c>
      <c r="I9" s="7">
        <f t="shared" si="0"/>
        <v>0.16129032258064516</v>
      </c>
      <c r="K9" s="15" t="s">
        <v>292</v>
      </c>
      <c r="L9" s="18">
        <v>6.7587037037037039</v>
      </c>
    </row>
    <row r="10" spans="1:16" x14ac:dyDescent="0.25">
      <c r="A10" s="15" t="s">
        <v>292</v>
      </c>
      <c r="B10" s="6">
        <v>84550.833333333328</v>
      </c>
      <c r="D10" s="15" t="s">
        <v>292</v>
      </c>
      <c r="E10" s="16">
        <v>24</v>
      </c>
      <c r="F10" s="16">
        <v>4</v>
      </c>
      <c r="G10" s="16">
        <v>2</v>
      </c>
      <c r="H10" s="16">
        <v>30</v>
      </c>
      <c r="I10" s="7">
        <f t="shared" si="0"/>
        <v>0.13333333333333333</v>
      </c>
    </row>
    <row r="11" spans="1:16" x14ac:dyDescent="0.25">
      <c r="A11" s="15" t="s">
        <v>293</v>
      </c>
      <c r="B11" s="6">
        <v>81846.709677419349</v>
      </c>
    </row>
    <row r="12" spans="1:16" x14ac:dyDescent="0.25">
      <c r="A12" s="15" t="s">
        <v>291</v>
      </c>
      <c r="B12" s="6">
        <v>81577.277777777781</v>
      </c>
      <c r="D12" s="23" t="s">
        <v>325</v>
      </c>
      <c r="E12" s="22">
        <f>GETPIVOTDATA("Emp ID",$A$32,"Employment Status","Left")/B4</f>
        <v>0.15333333333333332</v>
      </c>
      <c r="F12" s="22">
        <f>E12</f>
        <v>0.15333333333333332</v>
      </c>
    </row>
    <row r="13" spans="1:16" x14ac:dyDescent="0.25">
      <c r="A13" s="15" t="s">
        <v>290</v>
      </c>
      <c r="B13" s="6">
        <v>81484.529411764699</v>
      </c>
    </row>
    <row r="14" spans="1:16" x14ac:dyDescent="0.25">
      <c r="H14" s="25" t="s">
        <v>322</v>
      </c>
      <c r="I14" s="25"/>
      <c r="K14" s="25" t="s">
        <v>324</v>
      </c>
      <c r="L14" s="25"/>
    </row>
    <row r="15" spans="1:16" x14ac:dyDescent="0.25">
      <c r="D15" s="25" t="s">
        <v>314</v>
      </c>
      <c r="E15" s="25"/>
      <c r="H15" s="14" t="s">
        <v>305</v>
      </c>
      <c r="I15" s="6" t="s">
        <v>307</v>
      </c>
      <c r="K15" s="14" t="s">
        <v>307</v>
      </c>
      <c r="L15" s="14" t="s">
        <v>308</v>
      </c>
    </row>
    <row r="16" spans="1:16" x14ac:dyDescent="0.25">
      <c r="A16" s="25" t="s">
        <v>313</v>
      </c>
      <c r="B16" s="25"/>
      <c r="D16" s="14" t="s">
        <v>305</v>
      </c>
      <c r="E16" s="6" t="s">
        <v>316</v>
      </c>
      <c r="H16" s="15" t="s">
        <v>289</v>
      </c>
      <c r="I16" s="21">
        <v>36</v>
      </c>
      <c r="K16" s="14" t="s">
        <v>305</v>
      </c>
      <c r="L16" t="s">
        <v>300</v>
      </c>
      <c r="M16" t="s">
        <v>299</v>
      </c>
      <c r="N16" t="s">
        <v>301</v>
      </c>
      <c r="O16" t="s">
        <v>298</v>
      </c>
      <c r="P16" t="s">
        <v>302</v>
      </c>
    </row>
    <row r="17" spans="1:16" x14ac:dyDescent="0.25">
      <c r="A17" s="14" t="s">
        <v>305</v>
      </c>
      <c r="B17" t="s">
        <v>312</v>
      </c>
      <c r="D17" s="15" t="s">
        <v>300</v>
      </c>
      <c r="E17" s="6">
        <v>165216.95000000004</v>
      </c>
      <c r="H17" s="15" t="s">
        <v>293</v>
      </c>
      <c r="I17" s="21">
        <v>31</v>
      </c>
      <c r="K17" s="15" t="s">
        <v>289</v>
      </c>
      <c r="L17" s="21">
        <v>9</v>
      </c>
      <c r="M17" s="21">
        <v>12</v>
      </c>
      <c r="N17" s="21">
        <v>8</v>
      </c>
      <c r="O17" s="21">
        <v>5</v>
      </c>
      <c r="P17" s="21">
        <v>2</v>
      </c>
    </row>
    <row r="18" spans="1:16" x14ac:dyDescent="0.25">
      <c r="A18" s="15" t="s">
        <v>45</v>
      </c>
      <c r="B18" s="18">
        <v>68.341880341880341</v>
      </c>
      <c r="D18" s="15" t="s">
        <v>301</v>
      </c>
      <c r="E18" s="6">
        <v>144689.44</v>
      </c>
      <c r="H18" s="15" t="s">
        <v>292</v>
      </c>
      <c r="I18" s="21">
        <v>30</v>
      </c>
      <c r="K18" s="15" t="s">
        <v>293</v>
      </c>
      <c r="L18" s="21">
        <v>10</v>
      </c>
      <c r="M18" s="21">
        <v>10</v>
      </c>
      <c r="N18" s="21">
        <v>2</v>
      </c>
      <c r="O18" s="21">
        <v>7</v>
      </c>
      <c r="P18" s="21">
        <v>2</v>
      </c>
    </row>
    <row r="19" spans="1:16" x14ac:dyDescent="0.25">
      <c r="A19" s="15" t="s">
        <v>30</v>
      </c>
      <c r="B19" s="18">
        <v>70.260869565217391</v>
      </c>
      <c r="D19" s="15" t="s">
        <v>302</v>
      </c>
      <c r="E19" s="6">
        <v>92411.520000000004</v>
      </c>
      <c r="H19" s="15" t="s">
        <v>288</v>
      </c>
      <c r="I19" s="21">
        <v>18</v>
      </c>
      <c r="K19" s="15" t="s">
        <v>292</v>
      </c>
      <c r="L19" s="21">
        <v>10</v>
      </c>
      <c r="M19" s="21">
        <v>8</v>
      </c>
      <c r="N19" s="21">
        <v>6</v>
      </c>
      <c r="O19" s="21">
        <v>5</v>
      </c>
      <c r="P19" s="21">
        <v>1</v>
      </c>
    </row>
    <row r="20" spans="1:16" x14ac:dyDescent="0.25">
      <c r="A20" s="15" t="s">
        <v>115</v>
      </c>
      <c r="B20" s="18">
        <v>59.9</v>
      </c>
      <c r="D20" s="15" t="s">
        <v>299</v>
      </c>
      <c r="E20" s="6">
        <v>84593.280000000028</v>
      </c>
      <c r="H20" s="15" t="s">
        <v>291</v>
      </c>
      <c r="I20" s="21">
        <v>18</v>
      </c>
      <c r="K20" s="15" t="s">
        <v>288</v>
      </c>
      <c r="L20" s="21">
        <v>4</v>
      </c>
      <c r="M20" s="21">
        <v>7</v>
      </c>
      <c r="N20" s="21">
        <v>2</v>
      </c>
      <c r="O20" s="21">
        <v>4</v>
      </c>
      <c r="P20" s="21">
        <v>1</v>
      </c>
    </row>
    <row r="21" spans="1:16" x14ac:dyDescent="0.25">
      <c r="D21" s="15" t="s">
        <v>298</v>
      </c>
      <c r="E21" s="6">
        <v>0</v>
      </c>
      <c r="H21" s="15" t="s">
        <v>290</v>
      </c>
      <c r="I21" s="21">
        <v>17</v>
      </c>
      <c r="K21" s="15" t="s">
        <v>291</v>
      </c>
      <c r="L21" s="21">
        <v>4</v>
      </c>
      <c r="M21" s="21">
        <v>8</v>
      </c>
      <c r="N21" s="21">
        <v>1</v>
      </c>
      <c r="O21" s="21">
        <v>3</v>
      </c>
      <c r="P21" s="21">
        <v>2</v>
      </c>
    </row>
    <row r="22" spans="1:16" x14ac:dyDescent="0.25">
      <c r="K22" s="15" t="s">
        <v>290</v>
      </c>
      <c r="L22" s="21">
        <v>4</v>
      </c>
      <c r="M22" s="21">
        <v>4</v>
      </c>
      <c r="N22" s="21">
        <v>3</v>
      </c>
      <c r="O22" s="21">
        <v>4</v>
      </c>
      <c r="P22" s="21">
        <v>2</v>
      </c>
    </row>
    <row r="23" spans="1:16" x14ac:dyDescent="0.25">
      <c r="A23" s="25" t="s">
        <v>321</v>
      </c>
      <c r="B23" s="25"/>
      <c r="D23" t="s">
        <v>317</v>
      </c>
    </row>
    <row r="24" spans="1:16" x14ac:dyDescent="0.25">
      <c r="A24" s="14" t="s">
        <v>305</v>
      </c>
      <c r="B24" t="s">
        <v>307</v>
      </c>
      <c r="D24" s="6">
        <v>486911.19000000012</v>
      </c>
      <c r="E24" s="24">
        <f>GETPIVOTDATA("Bonus Amount",$D$23)</f>
        <v>486911.19000000012</v>
      </c>
      <c r="H24" s="17" t="s">
        <v>312</v>
      </c>
    </row>
    <row r="25" spans="1:16" x14ac:dyDescent="0.25">
      <c r="A25" s="15" t="s">
        <v>45</v>
      </c>
      <c r="B25" s="7">
        <v>0.78</v>
      </c>
      <c r="H25" s="17">
        <v>68.073333333333338</v>
      </c>
      <c r="I25" s="17">
        <f>GETPIVOTDATA("Perf_Score",$H$24)</f>
        <v>68.073333333333338</v>
      </c>
    </row>
    <row r="26" spans="1:16" x14ac:dyDescent="0.25">
      <c r="A26" s="15" t="s">
        <v>30</v>
      </c>
      <c r="B26" s="7">
        <v>0.15333333333333332</v>
      </c>
      <c r="D26" s="25" t="s">
        <v>320</v>
      </c>
      <c r="E26" s="25"/>
    </row>
    <row r="27" spans="1:16" x14ac:dyDescent="0.25">
      <c r="A27" s="15" t="s">
        <v>115</v>
      </c>
      <c r="B27" s="7">
        <v>6.6666666666666666E-2</v>
      </c>
      <c r="D27" s="14" t="s">
        <v>305</v>
      </c>
      <c r="E27" t="s">
        <v>319</v>
      </c>
    </row>
    <row r="28" spans="1:16" x14ac:dyDescent="0.25">
      <c r="D28" s="15" t="s">
        <v>300</v>
      </c>
      <c r="E28" s="16">
        <v>41</v>
      </c>
      <c r="H28" s="4"/>
      <c r="I28" s="4"/>
    </row>
    <row r="29" spans="1:16" x14ac:dyDescent="0.25">
      <c r="D29" s="15" t="s">
        <v>299</v>
      </c>
      <c r="E29" s="16">
        <v>49</v>
      </c>
      <c r="H29" s="4"/>
      <c r="I29" s="4"/>
    </row>
    <row r="30" spans="1:16" x14ac:dyDescent="0.25">
      <c r="D30" s="15" t="s">
        <v>301</v>
      </c>
      <c r="E30" s="16">
        <v>22</v>
      </c>
    </row>
    <row r="31" spans="1:16" x14ac:dyDescent="0.25">
      <c r="A31" s="25" t="s">
        <v>321</v>
      </c>
      <c r="B31" s="25"/>
      <c r="D31" s="15" t="s">
        <v>298</v>
      </c>
      <c r="E31" s="16">
        <v>28</v>
      </c>
    </row>
    <row r="32" spans="1:16" x14ac:dyDescent="0.25">
      <c r="A32" s="14" t="s">
        <v>305</v>
      </c>
      <c r="B32" t="s">
        <v>307</v>
      </c>
      <c r="D32" s="15" t="s">
        <v>302</v>
      </c>
      <c r="E32" s="16">
        <v>10</v>
      </c>
    </row>
    <row r="33" spans="1:3" x14ac:dyDescent="0.25">
      <c r="A33" s="15" t="s">
        <v>45</v>
      </c>
      <c r="B33" s="4">
        <v>117</v>
      </c>
      <c r="C33">
        <f>GETPIVOTDATA("Emp ID",$A$32,"Employment Status","Active")</f>
        <v>117</v>
      </c>
    </row>
    <row r="34" spans="1:3" x14ac:dyDescent="0.25">
      <c r="A34" s="15" t="s">
        <v>30</v>
      </c>
      <c r="B34" s="4">
        <v>23</v>
      </c>
    </row>
    <row r="35" spans="1:3" x14ac:dyDescent="0.25">
      <c r="A35" s="15" t="s">
        <v>115</v>
      </c>
      <c r="B35" s="4">
        <v>10</v>
      </c>
    </row>
  </sheetData>
  <mergeCells count="10">
    <mergeCell ref="A31:B31"/>
    <mergeCell ref="D26:E26"/>
    <mergeCell ref="A23:B23"/>
    <mergeCell ref="H14:I14"/>
    <mergeCell ref="K2:L2"/>
    <mergeCell ref="K14:L14"/>
    <mergeCell ref="A2:B2"/>
    <mergeCell ref="D2:E2"/>
    <mergeCell ref="A16:B16"/>
    <mergeCell ref="D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7867-E942-49FD-BF24-CC4CCC15CC59}">
  <dimension ref="A1:L152"/>
  <sheetViews>
    <sheetView workbookViewId="0">
      <selection sqref="A1:L1"/>
    </sheetView>
  </sheetViews>
  <sheetFormatPr defaultRowHeight="15" x14ac:dyDescent="0.25"/>
  <cols>
    <col min="1" max="1" width="9.28515625" customWidth="1"/>
    <col min="2" max="2" width="18.28515625" bestFit="1" customWidth="1"/>
    <col min="3" max="3" width="12.42578125" customWidth="1"/>
    <col min="4" max="4" width="22.5703125" bestFit="1" customWidth="1"/>
    <col min="5" max="5" width="18.28515625" style="5" bestFit="1" customWidth="1"/>
    <col min="6" max="6" width="18.28515625" style="4" customWidth="1"/>
    <col min="7" max="7" width="10.85546875" style="6" bestFit="1" customWidth="1"/>
    <col min="8" max="8" width="12.7109375" customWidth="1"/>
    <col min="9" max="9" width="22.7109375" bestFit="1" customWidth="1"/>
    <col min="10" max="10" width="19.5703125" style="7" customWidth="1"/>
    <col min="11" max="11" width="20.28515625" customWidth="1"/>
    <col min="12" max="12" width="16.42578125" bestFit="1" customWidth="1"/>
  </cols>
  <sheetData>
    <row r="1" spans="1:12" x14ac:dyDescent="0.25">
      <c r="A1" s="8" t="s">
        <v>0</v>
      </c>
      <c r="B1" s="8" t="s">
        <v>303</v>
      </c>
      <c r="C1" s="8" t="s">
        <v>3</v>
      </c>
      <c r="D1" s="8" t="s">
        <v>287</v>
      </c>
      <c r="E1" s="9" t="s">
        <v>4</v>
      </c>
      <c r="F1" s="10" t="s">
        <v>304</v>
      </c>
      <c r="G1" s="11" t="s">
        <v>5</v>
      </c>
      <c r="H1" s="8" t="s">
        <v>6</v>
      </c>
      <c r="I1" s="8" t="s">
        <v>296</v>
      </c>
      <c r="J1" s="12" t="s">
        <v>297</v>
      </c>
      <c r="K1" s="13" t="s">
        <v>7</v>
      </c>
      <c r="L1" s="19" t="s">
        <v>315</v>
      </c>
    </row>
    <row r="2" spans="1:12" x14ac:dyDescent="0.25">
      <c r="A2" t="s">
        <v>8</v>
      </c>
      <c r="B2" t="str">
        <f>CONCATENATE(Raw_Employee_Data!B2," ",Raw_Employee_Data!C2)</f>
        <v>Emily Brown</v>
      </c>
      <c r="C2" t="str">
        <f>UPPER(TRIM(Raw_Employee_Data!D1:D158))</f>
        <v>IT02</v>
      </c>
      <c r="D2" t="str">
        <f>VLOOKUP(C2,Lookup_Departments!$A$1:$B$7,2,)</f>
        <v>Information Technology</v>
      </c>
      <c r="E2" s="5">
        <v>43093</v>
      </c>
      <c r="F2" s="4">
        <f ca="1">YEARFRAC(E2,TODAY())</f>
        <v>8.5333333333333332</v>
      </c>
      <c r="G2" s="6">
        <v>50361</v>
      </c>
      <c r="H2">
        <v>52</v>
      </c>
      <c r="I2" t="str">
        <f>VLOOKUP(H2,Lookup_Performance!$A$1:$D$6,3)</f>
        <v>Developing</v>
      </c>
      <c r="J2" s="7">
        <f>VLOOKUP(H2,Lookup_Performance!$A$1:$D$6,4)</f>
        <v>0.02</v>
      </c>
      <c r="K2" t="str">
        <f>PROPER(TRIM(Raw_Employee_Data!H1:H158))</f>
        <v>Active</v>
      </c>
      <c r="L2" s="6">
        <f>Table1[[#This Row],[Salary]]*Table1[[#This Row],[Bonus_Percentage]]</f>
        <v>1007.22</v>
      </c>
    </row>
    <row r="3" spans="1:12" x14ac:dyDescent="0.25">
      <c r="A3" t="s">
        <v>13</v>
      </c>
      <c r="B3" t="str">
        <f>CONCATENATE(Raw_Employee_Data!B3," ",Raw_Employee_Data!C3)</f>
        <v>Richard Hernandez</v>
      </c>
      <c r="C3" t="str">
        <f>UPPER(TRIM(Raw_Employee_Data!D2:D159))</f>
        <v>MKT04</v>
      </c>
      <c r="D3" t="str">
        <f>VLOOKUP(C3,Lookup_Departments!$A$1:$B$7,2,)</f>
        <v>Marketing</v>
      </c>
      <c r="E3" s="5">
        <v>44659</v>
      </c>
      <c r="F3" s="4">
        <f t="shared" ref="F3:F66" ca="1" si="0">YEARFRAC(E3,TODAY())</f>
        <v>4.2444444444444445</v>
      </c>
      <c r="G3" s="6">
        <v>112673</v>
      </c>
      <c r="H3">
        <v>68</v>
      </c>
      <c r="I3" t="str">
        <f>VLOOKUP(H3,Lookup_Performance!$A$1:$D$6,3)</f>
        <v>Developing</v>
      </c>
      <c r="J3" s="7">
        <f>VLOOKUP(H3,Lookup_Performance!$A$1:$D$6,4)</f>
        <v>0.02</v>
      </c>
      <c r="K3" t="str">
        <f>PROPER(TRIM(Raw_Employee_Data!H2:H159))</f>
        <v>Active</v>
      </c>
      <c r="L3" s="6">
        <f>Table1[[#This Row],[Salary]]*Table1[[#This Row],[Bonus_Percentage]]</f>
        <v>2253.46</v>
      </c>
    </row>
    <row r="4" spans="1:12" x14ac:dyDescent="0.25">
      <c r="A4" t="s">
        <v>18</v>
      </c>
      <c r="B4" t="str">
        <f>CONCATENATE(Raw_Employee_Data!B4," ",Raw_Employee_Data!C4)</f>
        <v>Emily Gonzalez</v>
      </c>
      <c r="C4" t="str">
        <f>UPPER(TRIM(Raw_Employee_Data!D3:D160))</f>
        <v>IT02</v>
      </c>
      <c r="D4" t="str">
        <f>VLOOKUP(C4,Lookup_Departments!$A$1:$B$7,2,)</f>
        <v>Information Technology</v>
      </c>
      <c r="E4" s="5">
        <v>42431</v>
      </c>
      <c r="F4" s="4">
        <f t="shared" ca="1" si="0"/>
        <v>10.344444444444445</v>
      </c>
      <c r="G4" s="6">
        <v>114425</v>
      </c>
      <c r="H4">
        <v>54</v>
      </c>
      <c r="I4" t="str">
        <f>VLOOKUP(H4,Lookup_Performance!$A$1:$D$6,3)</f>
        <v>Developing</v>
      </c>
      <c r="J4" s="7">
        <f>VLOOKUP(H4,Lookup_Performance!$A$1:$D$6,4)</f>
        <v>0.02</v>
      </c>
      <c r="K4" t="str">
        <f>PROPER(TRIM(Raw_Employee_Data!H3:H160))</f>
        <v>Left</v>
      </c>
      <c r="L4" s="6">
        <f>Table1[[#This Row],[Salary]]*Table1[[#This Row],[Bonus_Percentage]]</f>
        <v>2288.5</v>
      </c>
    </row>
    <row r="5" spans="1:12" x14ac:dyDescent="0.25">
      <c r="A5" t="s">
        <v>23</v>
      </c>
      <c r="B5" t="str">
        <f>CONCATENATE(Raw_Employee_Data!B5," ",Raw_Employee_Data!C5)</f>
        <v>John Martinez</v>
      </c>
      <c r="C5" t="str">
        <f>UPPER(TRIM(Raw_Employee_Data!D4:D161))</f>
        <v>FIN03</v>
      </c>
      <c r="D5" t="str">
        <f>VLOOKUP(C5,Lookup_Departments!$A$1:$B$7,2,)</f>
        <v>Finance</v>
      </c>
      <c r="E5" s="5">
        <v>45110</v>
      </c>
      <c r="F5" s="4">
        <f t="shared" ca="1" si="0"/>
        <v>3.0083333333333333</v>
      </c>
      <c r="G5" s="6">
        <v>103831</v>
      </c>
      <c r="H5">
        <v>70</v>
      </c>
      <c r="I5" t="str">
        <f>VLOOKUP(H5,Lookup_Performance!$A$1:$D$6,3)</f>
        <v>Achieving</v>
      </c>
      <c r="J5" s="7">
        <f>VLOOKUP(H5,Lookup_Performance!$A$1:$D$6,4)</f>
        <v>0.05</v>
      </c>
      <c r="K5" t="str">
        <f>PROPER(TRIM(Raw_Employee_Data!H4:H161))</f>
        <v>Active</v>
      </c>
      <c r="L5" s="6">
        <f>Table1[[#This Row],[Salary]]*Table1[[#This Row],[Bonus_Percentage]]</f>
        <v>5191.55</v>
      </c>
    </row>
    <row r="6" spans="1:12" x14ac:dyDescent="0.25">
      <c r="A6" t="s">
        <v>27</v>
      </c>
      <c r="B6" t="str">
        <f>CONCATENATE(Raw_Employee_Data!B6," ",Raw_Employee_Data!C6)</f>
        <v>Thomas Smith</v>
      </c>
      <c r="C6" t="str">
        <f>UPPER(TRIM(Raw_Employee_Data!D5:D162))</f>
        <v>IT02</v>
      </c>
      <c r="D6" t="str">
        <f>VLOOKUP(C6,Lookup_Departments!$A$1:$B$7,2,)</f>
        <v>Information Technology</v>
      </c>
      <c r="E6" s="5">
        <v>44977</v>
      </c>
      <c r="F6" s="4">
        <f t="shared" ca="1" si="0"/>
        <v>3.3777777777777778</v>
      </c>
      <c r="G6" s="6">
        <v>73785</v>
      </c>
      <c r="H6">
        <v>40</v>
      </c>
      <c r="I6" t="str">
        <f>VLOOKUP(H6,Lookup_Performance!$A$1:$D$6,3)</f>
        <v>Needs Improvement</v>
      </c>
      <c r="J6" s="7">
        <f>VLOOKUP(H6,Lookup_Performance!$A$1:$D$6,4)</f>
        <v>0</v>
      </c>
      <c r="K6" t="str">
        <f>PROPER(TRIM(Raw_Employee_Data!H5:H162))</f>
        <v>Left</v>
      </c>
      <c r="L6" s="6">
        <f>Table1[[#This Row],[Salary]]*Table1[[#This Row],[Bonus_Percentage]]</f>
        <v>0</v>
      </c>
    </row>
    <row r="7" spans="1:12" x14ac:dyDescent="0.25">
      <c r="A7" t="s">
        <v>31</v>
      </c>
      <c r="B7" t="str">
        <f>CONCATENATE(Raw_Employee_Data!B7," ",Raw_Employee_Data!C7)</f>
        <v>Emily Johnson</v>
      </c>
      <c r="C7" t="str">
        <f>UPPER(TRIM(Raw_Employee_Data!D6:D163))</f>
        <v>OPS06</v>
      </c>
      <c r="D7" t="str">
        <f>VLOOKUP(C7,Lookup_Departments!$A$1:$B$7,2,)</f>
        <v>Operations</v>
      </c>
      <c r="E7" s="5">
        <v>43892</v>
      </c>
      <c r="F7" s="4">
        <f t="shared" ca="1" si="0"/>
        <v>6.3444444444444441</v>
      </c>
      <c r="G7" s="6">
        <v>115882</v>
      </c>
      <c r="H7">
        <v>49</v>
      </c>
      <c r="I7" t="str">
        <f>VLOOKUP(H7,Lookup_Performance!$A$1:$D$6,3)</f>
        <v>Needs Improvement</v>
      </c>
      <c r="J7" s="7">
        <f>VLOOKUP(H7,Lookup_Performance!$A$1:$D$6,4)</f>
        <v>0</v>
      </c>
      <c r="K7" t="str">
        <f>PROPER(TRIM(Raw_Employee_Data!H6:H163))</f>
        <v>Active</v>
      </c>
      <c r="L7" s="6">
        <f>Table1[[#This Row],[Salary]]*Table1[[#This Row],[Bonus_Percentage]]</f>
        <v>0</v>
      </c>
    </row>
    <row r="8" spans="1:12" x14ac:dyDescent="0.25">
      <c r="A8" t="s">
        <v>35</v>
      </c>
      <c r="B8" t="str">
        <f>CONCATENATE(Raw_Employee_Data!B8," ",Raw_Employee_Data!C8)</f>
        <v>John Wilson</v>
      </c>
      <c r="C8" t="str">
        <f>UPPER(TRIM(Raw_Employee_Data!D7:D164))</f>
        <v>OPS06</v>
      </c>
      <c r="D8" t="str">
        <f>VLOOKUP(C8,Lookup_Departments!$A$1:$B$7,2,)</f>
        <v>Operations</v>
      </c>
      <c r="E8" s="5">
        <v>45272</v>
      </c>
      <c r="F8" s="4">
        <f t="shared" ca="1" si="0"/>
        <v>2.5666666666666669</v>
      </c>
      <c r="G8" s="6">
        <v>59980</v>
      </c>
      <c r="H8">
        <v>70</v>
      </c>
      <c r="I8" t="str">
        <f>VLOOKUP(H8,Lookup_Performance!$A$1:$D$6,3)</f>
        <v>Achieving</v>
      </c>
      <c r="J8" s="7">
        <f>VLOOKUP(H8,Lookup_Performance!$A$1:$D$6,4)</f>
        <v>0.05</v>
      </c>
      <c r="K8" t="str">
        <f>PROPER(TRIM(Raw_Employee_Data!H7:H164))</f>
        <v>Left</v>
      </c>
      <c r="L8" s="6">
        <f>Table1[[#This Row],[Salary]]*Table1[[#This Row],[Bonus_Percentage]]</f>
        <v>2999</v>
      </c>
    </row>
    <row r="9" spans="1:12" x14ac:dyDescent="0.25">
      <c r="A9" t="s">
        <v>38</v>
      </c>
      <c r="B9" t="str">
        <f>CONCATENATE(Raw_Employee_Data!B9," ",Raw_Employee_Data!C9)</f>
        <v>Jessica Smith</v>
      </c>
      <c r="C9" t="str">
        <f>UPPER(TRIM(Raw_Employee_Data!D8:D165))</f>
        <v>OPS06</v>
      </c>
      <c r="D9" t="str">
        <f>VLOOKUP(C9,Lookup_Departments!$A$1:$B$7,2,)</f>
        <v>Operations</v>
      </c>
      <c r="E9" s="5">
        <v>44174</v>
      </c>
      <c r="F9" s="4">
        <f t="shared" ca="1" si="0"/>
        <v>5.5750000000000002</v>
      </c>
      <c r="G9" s="6">
        <v>68728</v>
      </c>
      <c r="H9">
        <v>45</v>
      </c>
      <c r="I9" t="str">
        <f>VLOOKUP(H9,Lookup_Performance!$A$1:$D$6,3)</f>
        <v>Needs Improvement</v>
      </c>
      <c r="J9" s="7">
        <f>VLOOKUP(H9,Lookup_Performance!$A$1:$D$6,4)</f>
        <v>0</v>
      </c>
      <c r="K9" t="str">
        <f>PROPER(TRIM(Raw_Employee_Data!H8:H165))</f>
        <v>Active</v>
      </c>
      <c r="L9" s="6">
        <f>Table1[[#This Row],[Salary]]*Table1[[#This Row],[Bonus_Percentage]]</f>
        <v>0</v>
      </c>
    </row>
    <row r="10" spans="1:12" x14ac:dyDescent="0.25">
      <c r="A10" t="s">
        <v>40</v>
      </c>
      <c r="B10" t="str">
        <f>CONCATENATE(Raw_Employee_Data!B10," ",Raw_Employee_Data!C10)</f>
        <v xml:space="preserve"> Rodriguez</v>
      </c>
      <c r="C10" t="str">
        <f>UPPER(TRIM(Raw_Employee_Data!D9:D166))</f>
        <v>FIN03</v>
      </c>
      <c r="D10" t="str">
        <f>VLOOKUP(C10,Lookup_Departments!$A$1:$B$7,2,)</f>
        <v>Finance</v>
      </c>
      <c r="E10" s="5">
        <v>43107</v>
      </c>
      <c r="F10" s="4">
        <f t="shared" ca="1" si="0"/>
        <v>8.4972222222222218</v>
      </c>
      <c r="G10" s="6">
        <v>102139</v>
      </c>
      <c r="H10">
        <v>79</v>
      </c>
      <c r="I10" t="str">
        <f>VLOOKUP(H10,Lookup_Performance!$A$1:$D$6,3)</f>
        <v>Achieving</v>
      </c>
      <c r="J10" s="7">
        <f>VLOOKUP(H10,Lookup_Performance!$A$1:$D$6,4)</f>
        <v>0.05</v>
      </c>
      <c r="K10" t="str">
        <f>PROPER(TRIM(Raw_Employee_Data!H9:H166))</f>
        <v>Active</v>
      </c>
      <c r="L10" s="6">
        <f>Table1[[#This Row],[Salary]]*Table1[[#This Row],[Bonus_Percentage]]</f>
        <v>5106.9500000000007</v>
      </c>
    </row>
    <row r="11" spans="1:12" x14ac:dyDescent="0.25">
      <c r="A11" t="s">
        <v>42</v>
      </c>
      <c r="B11" t="str">
        <f>CONCATENATE(Raw_Employee_Data!B11," ",Raw_Employee_Data!C11)</f>
        <v>Michael Martinez</v>
      </c>
      <c r="C11" t="str">
        <f>UPPER(TRIM(Raw_Employee_Data!D10:D167))</f>
        <v>SAL05</v>
      </c>
      <c r="D11" t="str">
        <f>VLOOKUP(C11,Lookup_Departments!$A$1:$B$7,2,)</f>
        <v>Sales</v>
      </c>
      <c r="E11" s="5">
        <v>42676</v>
      </c>
      <c r="F11" s="4">
        <f t="shared" ca="1" si="0"/>
        <v>9.6777777777777771</v>
      </c>
      <c r="G11" s="6">
        <v>94998</v>
      </c>
      <c r="H11">
        <v>58</v>
      </c>
      <c r="I11" t="str">
        <f>VLOOKUP(H11,Lookup_Performance!$A$1:$D$6,3)</f>
        <v>Developing</v>
      </c>
      <c r="J11" s="7">
        <f>VLOOKUP(H11,Lookup_Performance!$A$1:$D$6,4)</f>
        <v>0.02</v>
      </c>
      <c r="K11" t="str">
        <f>PROPER(TRIM(Raw_Employee_Data!H10:H167))</f>
        <v>Active</v>
      </c>
      <c r="L11" s="6">
        <f>Table1[[#This Row],[Salary]]*Table1[[#This Row],[Bonus_Percentage]]</f>
        <v>1899.96</v>
      </c>
    </row>
    <row r="12" spans="1:12" x14ac:dyDescent="0.25">
      <c r="A12" t="s">
        <v>46</v>
      </c>
      <c r="B12" t="str">
        <f>CONCATENATE(Raw_Employee_Data!B12," ",Raw_Employee_Data!C12)</f>
        <v>Emily Miller</v>
      </c>
      <c r="C12" t="str">
        <f>UPPER(TRIM(Raw_Employee_Data!D11:D168))</f>
        <v>SAL05</v>
      </c>
      <c r="D12" t="str">
        <f>VLOOKUP(C12,Lookup_Departments!$A$1:$B$7,2,)</f>
        <v>Sales</v>
      </c>
      <c r="E12" s="5">
        <v>43911</v>
      </c>
      <c r="F12" s="4">
        <f t="shared" ca="1" si="0"/>
        <v>6.291666666666667</v>
      </c>
      <c r="G12" s="6">
        <v>118635</v>
      </c>
      <c r="H12">
        <v>49</v>
      </c>
      <c r="I12" t="str">
        <f>VLOOKUP(H12,Lookup_Performance!$A$1:$D$6,3)</f>
        <v>Needs Improvement</v>
      </c>
      <c r="J12" s="7">
        <f>VLOOKUP(H12,Lookup_Performance!$A$1:$D$6,4)</f>
        <v>0</v>
      </c>
      <c r="K12" t="str">
        <f>PROPER(TRIM(Raw_Employee_Data!H11:H168))</f>
        <v>Active</v>
      </c>
      <c r="L12" s="6">
        <f>Table1[[#This Row],[Salary]]*Table1[[#This Row],[Bonus_Percentage]]</f>
        <v>0</v>
      </c>
    </row>
    <row r="13" spans="1:12" x14ac:dyDescent="0.25">
      <c r="A13" t="s">
        <v>50</v>
      </c>
      <c r="B13" t="str">
        <f>CONCATENATE(Raw_Employee_Data!B13," ",Raw_Employee_Data!C13)</f>
        <v>Emily Hernandez</v>
      </c>
      <c r="C13" t="str">
        <f>UPPER(TRIM(Raw_Employee_Data!D12:D169))</f>
        <v>IT02</v>
      </c>
      <c r="D13" t="str">
        <f>VLOOKUP(C13,Lookup_Departments!$A$1:$B$7,2,)</f>
        <v>Information Technology</v>
      </c>
      <c r="E13" s="5">
        <v>42425</v>
      </c>
      <c r="F13" s="4">
        <f t="shared" ca="1" si="0"/>
        <v>10.363888888888889</v>
      </c>
      <c r="G13" s="6">
        <v>76918</v>
      </c>
      <c r="H13">
        <v>62</v>
      </c>
      <c r="I13" t="str">
        <f>VLOOKUP(H13,Lookup_Performance!$A$1:$D$6,3)</f>
        <v>Developing</v>
      </c>
      <c r="J13" s="7">
        <f>VLOOKUP(H13,Lookup_Performance!$A$1:$D$6,4)</f>
        <v>0.02</v>
      </c>
      <c r="K13" t="str">
        <f>PROPER(TRIM(Raw_Employee_Data!H12:H169))</f>
        <v>Active</v>
      </c>
      <c r="L13" s="6">
        <f>Table1[[#This Row],[Salary]]*Table1[[#This Row],[Bonus_Percentage]]</f>
        <v>1538.3600000000001</v>
      </c>
    </row>
    <row r="14" spans="1:12" x14ac:dyDescent="0.25">
      <c r="A14" t="s">
        <v>51</v>
      </c>
      <c r="B14" t="str">
        <f>CONCATENATE(Raw_Employee_Data!B14," ",Raw_Employee_Data!C14)</f>
        <v>Jane Williams</v>
      </c>
      <c r="C14" t="str">
        <f>UPPER(TRIM(Raw_Employee_Data!D13:D170))</f>
        <v>MKT04</v>
      </c>
      <c r="D14" t="str">
        <f>VLOOKUP(C14,Lookup_Departments!$A$1:$B$7,2,)</f>
        <v>Marketing</v>
      </c>
      <c r="E14" s="5">
        <v>44364</v>
      </c>
      <c r="F14" s="4">
        <f t="shared" ca="1" si="0"/>
        <v>5.052777777777778</v>
      </c>
      <c r="G14" s="6">
        <v>61408</v>
      </c>
      <c r="H14">
        <v>48</v>
      </c>
      <c r="I14" t="str">
        <f>VLOOKUP(H14,Lookup_Performance!$A$1:$D$6,3)</f>
        <v>Needs Improvement</v>
      </c>
      <c r="J14" s="7">
        <f>VLOOKUP(H14,Lookup_Performance!$A$1:$D$6,4)</f>
        <v>0</v>
      </c>
      <c r="K14" t="str">
        <f>PROPER(TRIM(Raw_Employee_Data!H13:H170))</f>
        <v>Active</v>
      </c>
      <c r="L14" s="6">
        <f>Table1[[#This Row],[Salary]]*Table1[[#This Row],[Bonus_Percentage]]</f>
        <v>0</v>
      </c>
    </row>
    <row r="15" spans="1:12" x14ac:dyDescent="0.25">
      <c r="A15" t="s">
        <v>56</v>
      </c>
      <c r="B15" t="str">
        <f>CONCATENATE(Raw_Employee_Data!B15," ",Raw_Employee_Data!C15)</f>
        <v>Jane Miller</v>
      </c>
      <c r="C15" t="str">
        <f>UPPER(TRIM(Raw_Employee_Data!D14:D171))</f>
        <v>MKT04</v>
      </c>
      <c r="D15" t="str">
        <f>VLOOKUP(C15,Lookup_Departments!$A$1:$B$7,2,)</f>
        <v>Marketing</v>
      </c>
      <c r="E15" s="5">
        <v>44001</v>
      </c>
      <c r="F15" s="4">
        <f t="shared" ca="1" si="0"/>
        <v>6.0472222222222225</v>
      </c>
      <c r="G15" s="6">
        <v>99990</v>
      </c>
      <c r="H15">
        <v>54</v>
      </c>
      <c r="I15" t="str">
        <f>VLOOKUP(H15,Lookup_Performance!$A$1:$D$6,3)</f>
        <v>Developing</v>
      </c>
      <c r="J15" s="7">
        <f>VLOOKUP(H15,Lookup_Performance!$A$1:$D$6,4)</f>
        <v>0.02</v>
      </c>
      <c r="K15" t="str">
        <f>PROPER(TRIM(Raw_Employee_Data!H14:H171))</f>
        <v>Active</v>
      </c>
      <c r="L15" s="6">
        <f>Table1[[#This Row],[Salary]]*Table1[[#This Row],[Bonus_Percentage]]</f>
        <v>1999.8</v>
      </c>
    </row>
    <row r="16" spans="1:12" x14ac:dyDescent="0.25">
      <c r="A16" t="s">
        <v>57</v>
      </c>
      <c r="B16" t="str">
        <f>CONCATENATE(Raw_Employee_Data!B16," ",Raw_Employee_Data!C16)</f>
        <v>Robert Jones</v>
      </c>
      <c r="C16" t="str">
        <f>UPPER(TRIM(Raw_Employee_Data!D15:D172))</f>
        <v>MKT04</v>
      </c>
      <c r="D16" t="str">
        <f>VLOOKUP(C16,Lookup_Departments!$A$1:$B$7,2,)</f>
        <v>Marketing</v>
      </c>
      <c r="E16" s="5">
        <v>43820</v>
      </c>
      <c r="F16" s="4">
        <f t="shared" ca="1" si="0"/>
        <v>6.541666666666667</v>
      </c>
      <c r="G16" s="6">
        <v>80385</v>
      </c>
      <c r="H16">
        <v>68</v>
      </c>
      <c r="I16" t="str">
        <f>VLOOKUP(H16,Lookup_Performance!$A$1:$D$6,3)</f>
        <v>Developing</v>
      </c>
      <c r="J16" s="7">
        <f>VLOOKUP(H16,Lookup_Performance!$A$1:$D$6,4)</f>
        <v>0.02</v>
      </c>
      <c r="K16" t="str">
        <f>PROPER(TRIM(Raw_Employee_Data!H15:H172))</f>
        <v>Active</v>
      </c>
      <c r="L16" s="6">
        <f>Table1[[#This Row],[Salary]]*Table1[[#This Row],[Bonus_Percentage]]</f>
        <v>1607.7</v>
      </c>
    </row>
    <row r="17" spans="1:12" x14ac:dyDescent="0.25">
      <c r="A17" t="s">
        <v>61</v>
      </c>
      <c r="B17" t="str">
        <f>CONCATENATE(Raw_Employee_Data!B17," ",Raw_Employee_Data!C17)</f>
        <v>Thomas Rodriguez</v>
      </c>
      <c r="C17" t="str">
        <f>UPPER(TRIM(Raw_Employee_Data!D16:D173))</f>
        <v>SAL05</v>
      </c>
      <c r="D17" t="str">
        <f>VLOOKUP(C17,Lookup_Departments!$A$1:$B$7,2,)</f>
        <v>Sales</v>
      </c>
      <c r="E17" s="5">
        <v>45169</v>
      </c>
      <c r="F17" s="4">
        <f t="shared" ca="1" si="0"/>
        <v>2.85</v>
      </c>
      <c r="G17" s="6">
        <v>65290</v>
      </c>
      <c r="H17">
        <v>77</v>
      </c>
      <c r="I17" t="str">
        <f>VLOOKUP(H17,Lookup_Performance!$A$1:$D$6,3)</f>
        <v>Achieving</v>
      </c>
      <c r="J17" s="7">
        <f>VLOOKUP(H17,Lookup_Performance!$A$1:$D$6,4)</f>
        <v>0.05</v>
      </c>
      <c r="K17" t="str">
        <f>PROPER(TRIM(Raw_Employee_Data!H16:H173))</f>
        <v>Active</v>
      </c>
      <c r="L17" s="6">
        <f>Table1[[#This Row],[Salary]]*Table1[[#This Row],[Bonus_Percentage]]</f>
        <v>3264.5</v>
      </c>
    </row>
    <row r="18" spans="1:12" x14ac:dyDescent="0.25">
      <c r="A18" t="s">
        <v>62</v>
      </c>
      <c r="B18" t="str">
        <f>CONCATENATE(Raw_Employee_Data!B18," ",Raw_Employee_Data!C18)</f>
        <v>Emily Davis</v>
      </c>
      <c r="C18" t="str">
        <f>UPPER(TRIM(Raw_Employee_Data!D17:D174))</f>
        <v>IT02</v>
      </c>
      <c r="D18" t="str">
        <f>VLOOKUP(C18,Lookup_Departments!$A$1:$B$7,2,)</f>
        <v>Information Technology</v>
      </c>
      <c r="E18" s="5">
        <v>42337</v>
      </c>
      <c r="F18" s="4">
        <f t="shared" ca="1" si="0"/>
        <v>10.602777777777778</v>
      </c>
      <c r="G18" s="6">
        <v>105765</v>
      </c>
      <c r="H18">
        <v>42</v>
      </c>
      <c r="I18" t="str">
        <f>VLOOKUP(H18,Lookup_Performance!$A$1:$D$6,3)</f>
        <v>Needs Improvement</v>
      </c>
      <c r="J18" s="7">
        <f>VLOOKUP(H18,Lookup_Performance!$A$1:$D$6,4)</f>
        <v>0</v>
      </c>
      <c r="K18" t="str">
        <f>PROPER(TRIM(Raw_Employee_Data!H17:H174))</f>
        <v>Active</v>
      </c>
      <c r="L18" s="6">
        <f>Table1[[#This Row],[Salary]]*Table1[[#This Row],[Bonus_Percentage]]</f>
        <v>0</v>
      </c>
    </row>
    <row r="19" spans="1:12" x14ac:dyDescent="0.25">
      <c r="A19" t="s">
        <v>64</v>
      </c>
      <c r="B19" t="str">
        <f>CONCATENATE(Raw_Employee_Data!B19," ",Raw_Employee_Data!C19)</f>
        <v>James Martinez</v>
      </c>
      <c r="C19" t="str">
        <f>UPPER(TRIM(Raw_Employee_Data!D18:D175))</f>
        <v>SAL05</v>
      </c>
      <c r="D19" t="str">
        <f>VLOOKUP(C19,Lookup_Departments!$A$1:$B$7,2,)</f>
        <v>Sales</v>
      </c>
      <c r="E19" s="5">
        <v>42899</v>
      </c>
      <c r="F19" s="4">
        <f t="shared" ca="1" si="0"/>
        <v>9.0638888888888882</v>
      </c>
      <c r="G19" s="6">
        <v>102921</v>
      </c>
      <c r="H19">
        <v>49</v>
      </c>
      <c r="I19" t="str">
        <f>VLOOKUP(H19,Lookup_Performance!$A$1:$D$6,3)</f>
        <v>Needs Improvement</v>
      </c>
      <c r="J19" s="7">
        <f>VLOOKUP(H19,Lookup_Performance!$A$1:$D$6,4)</f>
        <v>0</v>
      </c>
      <c r="K19" t="str">
        <f>PROPER(TRIM(Raw_Employee_Data!H18:H175))</f>
        <v>Active</v>
      </c>
      <c r="L19" s="6">
        <f>Table1[[#This Row],[Salary]]*Table1[[#This Row],[Bonus_Percentage]]</f>
        <v>0</v>
      </c>
    </row>
    <row r="20" spans="1:12" x14ac:dyDescent="0.25">
      <c r="A20" t="s">
        <v>66</v>
      </c>
      <c r="B20" t="str">
        <f>CONCATENATE(Raw_Employee_Data!B20," ",Raw_Employee_Data!C20)</f>
        <v>Emily Hernandez</v>
      </c>
      <c r="C20" t="str">
        <f>UPPER(TRIM(Raw_Employee_Data!D19:D176))</f>
        <v>IT02</v>
      </c>
      <c r="D20" t="str">
        <f>VLOOKUP(C20,Lookup_Departments!$A$1:$B$7,2,)</f>
        <v>Information Technology</v>
      </c>
      <c r="E20" s="5">
        <v>43235</v>
      </c>
      <c r="F20" s="4">
        <f t="shared" ca="1" si="0"/>
        <v>8.1416666666666675</v>
      </c>
      <c r="G20" s="6">
        <v>73984</v>
      </c>
      <c r="H20">
        <v>93</v>
      </c>
      <c r="I20" t="str">
        <f>VLOOKUP(H20,Lookup_Performance!$A$1:$D$6,3)</f>
        <v>Exceeding</v>
      </c>
      <c r="J20" s="7">
        <f>VLOOKUP(H20,Lookup_Performance!$A$1:$D$6,4)</f>
        <v>0.08</v>
      </c>
      <c r="K20" t="str">
        <f>PROPER(TRIM(Raw_Employee_Data!H19:H176))</f>
        <v>Active</v>
      </c>
      <c r="L20" s="6">
        <f>Table1[[#This Row],[Salary]]*Table1[[#This Row],[Bonus_Percentage]]</f>
        <v>5918.72</v>
      </c>
    </row>
    <row r="21" spans="1:12" x14ac:dyDescent="0.25">
      <c r="A21" t="s">
        <v>69</v>
      </c>
      <c r="B21" t="str">
        <f>CONCATENATE(Raw_Employee_Data!B21," ",Raw_Employee_Data!C21)</f>
        <v>Ashley Lopez</v>
      </c>
      <c r="C21" t="str">
        <f>UPPER(TRIM(Raw_Employee_Data!D20:D177))</f>
        <v>MKT04</v>
      </c>
      <c r="D21" t="str">
        <f>VLOOKUP(C21,Lookup_Departments!$A$1:$B$7,2,)</f>
        <v>Marketing</v>
      </c>
      <c r="E21" s="5">
        <v>42575</v>
      </c>
      <c r="F21" s="4">
        <f t="shared" ca="1" si="0"/>
        <v>9.9499999999999993</v>
      </c>
      <c r="G21" s="6">
        <v>83604</v>
      </c>
      <c r="H21">
        <v>75</v>
      </c>
      <c r="I21" t="str">
        <f>VLOOKUP(H21,Lookup_Performance!$A$1:$D$6,3)</f>
        <v>Achieving</v>
      </c>
      <c r="J21" s="7">
        <f>VLOOKUP(H21,Lookup_Performance!$A$1:$D$6,4)</f>
        <v>0.05</v>
      </c>
      <c r="K21" t="str">
        <f>PROPER(TRIM(Raw_Employee_Data!H20:H177))</f>
        <v>Active</v>
      </c>
      <c r="L21" s="6">
        <f>Table1[[#This Row],[Salary]]*Table1[[#This Row],[Bonus_Percentage]]</f>
        <v>4180.2</v>
      </c>
    </row>
    <row r="22" spans="1:12" x14ac:dyDescent="0.25">
      <c r="A22" t="s">
        <v>71</v>
      </c>
      <c r="B22" t="str">
        <f>CONCATENATE(Raw_Employee_Data!B22," ",Raw_Employee_Data!C22)</f>
        <v>Amanda Gonzalez</v>
      </c>
      <c r="C22" t="str">
        <f>UPPER(TRIM(Raw_Employee_Data!D21:D178))</f>
        <v>IT02</v>
      </c>
      <c r="D22" t="str">
        <f>VLOOKUP(C22,Lookup_Departments!$A$1:$B$7,2,)</f>
        <v>Information Technology</v>
      </c>
      <c r="E22" s="5">
        <v>43076</v>
      </c>
      <c r="F22" s="4">
        <f t="shared" ca="1" si="0"/>
        <v>8.5805555555555557</v>
      </c>
      <c r="G22" s="6">
        <v>118527</v>
      </c>
      <c r="H22">
        <v>50</v>
      </c>
      <c r="I22" t="str">
        <f>VLOOKUP(H22,Lookup_Performance!$A$1:$D$6,3)</f>
        <v>Developing</v>
      </c>
      <c r="J22" s="7">
        <f>VLOOKUP(H22,Lookup_Performance!$A$1:$D$6,4)</f>
        <v>0.02</v>
      </c>
      <c r="K22" t="str">
        <f>PROPER(TRIM(Raw_Employee_Data!H21:H178))</f>
        <v>Active</v>
      </c>
      <c r="L22" s="6">
        <f>Table1[[#This Row],[Salary]]*Table1[[#This Row],[Bonus_Percentage]]</f>
        <v>2370.54</v>
      </c>
    </row>
    <row r="23" spans="1:12" x14ac:dyDescent="0.25">
      <c r="A23" t="s">
        <v>72</v>
      </c>
      <c r="B23" t="str">
        <f>CONCATENATE(Raw_Employee_Data!B23," ",Raw_Employee_Data!C23)</f>
        <v>Michael Hernandez</v>
      </c>
      <c r="C23" t="str">
        <f>UPPER(TRIM(Raw_Employee_Data!D22:D179))</f>
        <v>FIN03</v>
      </c>
      <c r="D23" t="str">
        <f>VLOOKUP(C23,Lookup_Departments!$A$1:$B$7,2,)</f>
        <v>Finance</v>
      </c>
      <c r="E23" s="5">
        <v>44353</v>
      </c>
      <c r="F23" s="4">
        <f t="shared" ca="1" si="0"/>
        <v>5.083333333333333</v>
      </c>
      <c r="G23" s="6">
        <v>107871</v>
      </c>
      <c r="H23">
        <v>88</v>
      </c>
      <c r="I23" t="str">
        <f>VLOOKUP(H23,Lookup_Performance!$A$1:$D$6,3)</f>
        <v>Exceeding</v>
      </c>
      <c r="J23" s="7">
        <f>VLOOKUP(H23,Lookup_Performance!$A$1:$D$6,4)</f>
        <v>0.08</v>
      </c>
      <c r="K23" t="str">
        <f>PROPER(TRIM(Raw_Employee_Data!H22:H179))</f>
        <v>Active</v>
      </c>
      <c r="L23" s="6">
        <f>Table1[[#This Row],[Salary]]*Table1[[#This Row],[Bonus_Percentage]]</f>
        <v>8629.68</v>
      </c>
    </row>
    <row r="24" spans="1:12" x14ac:dyDescent="0.25">
      <c r="A24" t="s">
        <v>73</v>
      </c>
      <c r="B24" t="str">
        <f>CONCATENATE(Raw_Employee_Data!B24," ",Raw_Employee_Data!C24)</f>
        <v>Richard Hernandez</v>
      </c>
      <c r="C24" t="str">
        <f>UPPER(TRIM(Raw_Employee_Data!D23:D180))</f>
        <v>MKT04</v>
      </c>
      <c r="D24" t="str">
        <f>VLOOKUP(C24,Lookup_Departments!$A$1:$B$7,2,)</f>
        <v>Marketing</v>
      </c>
      <c r="E24" s="5">
        <v>44815</v>
      </c>
      <c r="F24" s="4">
        <f t="shared" ca="1" si="0"/>
        <v>3.8194444444444446</v>
      </c>
      <c r="G24" s="6">
        <v>93956</v>
      </c>
      <c r="H24">
        <v>50</v>
      </c>
      <c r="I24" t="str">
        <f>VLOOKUP(H24,Lookup_Performance!$A$1:$D$6,3)</f>
        <v>Developing</v>
      </c>
      <c r="J24" s="7">
        <f>VLOOKUP(H24,Lookup_Performance!$A$1:$D$6,4)</f>
        <v>0.02</v>
      </c>
      <c r="K24" t="str">
        <f>PROPER(TRIM(Raw_Employee_Data!H23:H180))</f>
        <v>Active</v>
      </c>
      <c r="L24" s="6">
        <f>Table1[[#This Row],[Salary]]*Table1[[#This Row],[Bonus_Percentage]]</f>
        <v>1879.1200000000001</v>
      </c>
    </row>
    <row r="25" spans="1:12" x14ac:dyDescent="0.25">
      <c r="A25" t="s">
        <v>74</v>
      </c>
      <c r="B25" t="str">
        <f>CONCATENATE(Raw_Employee_Data!B25," ",Raw_Employee_Data!C25)</f>
        <v>Michael Rodriguez</v>
      </c>
      <c r="C25" t="str">
        <f>UPPER(TRIM(Raw_Employee_Data!D24:D181))</f>
        <v>IT02</v>
      </c>
      <c r="D25" t="str">
        <f>VLOOKUP(C25,Lookup_Departments!$A$1:$B$7,2,)</f>
        <v>Information Technology</v>
      </c>
      <c r="E25" s="5">
        <v>42565</v>
      </c>
      <c r="F25" s="4">
        <f t="shared" ca="1" si="0"/>
        <v>9.9777777777777779</v>
      </c>
      <c r="G25" s="6">
        <v>100851</v>
      </c>
      <c r="H25">
        <v>64</v>
      </c>
      <c r="I25" t="str">
        <f>VLOOKUP(H25,Lookup_Performance!$A$1:$D$6,3)</f>
        <v>Developing</v>
      </c>
      <c r="J25" s="7">
        <f>VLOOKUP(H25,Lookup_Performance!$A$1:$D$6,4)</f>
        <v>0.02</v>
      </c>
      <c r="K25" t="str">
        <f>PROPER(TRIM(Raw_Employee_Data!H24:H181))</f>
        <v>Left</v>
      </c>
      <c r="L25" s="6">
        <f>Table1[[#This Row],[Salary]]*Table1[[#This Row],[Bonus_Percentage]]</f>
        <v>2017.02</v>
      </c>
    </row>
    <row r="26" spans="1:12" x14ac:dyDescent="0.25">
      <c r="A26" t="s">
        <v>76</v>
      </c>
      <c r="B26" t="str">
        <f>CONCATENATE(Raw_Employee_Data!B26," ",Raw_Employee_Data!C26)</f>
        <v>Jessica Johnson</v>
      </c>
      <c r="C26" t="str">
        <f>UPPER(TRIM(Raw_Employee_Data!D25:D182))</f>
        <v>FIN03</v>
      </c>
      <c r="D26" t="str">
        <f>VLOOKUP(C26,Lookup_Departments!$A$1:$B$7,2,)</f>
        <v>Finance</v>
      </c>
      <c r="E26" s="5">
        <v>44728</v>
      </c>
      <c r="F26" s="4">
        <f t="shared" ca="1" si="0"/>
        <v>4.0555555555555554</v>
      </c>
      <c r="G26" s="6">
        <v>68655</v>
      </c>
      <c r="H26">
        <v>32</v>
      </c>
      <c r="I26" t="str">
        <f>VLOOKUP(H26,Lookup_Performance!$A$1:$D$6,3)</f>
        <v>Needs Improvement</v>
      </c>
      <c r="J26" s="7">
        <f>VLOOKUP(H26,Lookup_Performance!$A$1:$D$6,4)</f>
        <v>0</v>
      </c>
      <c r="K26" t="str">
        <f>PROPER(TRIM(Raw_Employee_Data!H25:H182))</f>
        <v>Active</v>
      </c>
      <c r="L26" s="6">
        <f>Table1[[#This Row],[Salary]]*Table1[[#This Row],[Bonus_Percentage]]</f>
        <v>0</v>
      </c>
    </row>
    <row r="27" spans="1:12" x14ac:dyDescent="0.25">
      <c r="A27" t="s">
        <v>77</v>
      </c>
      <c r="B27" t="str">
        <f>CONCATENATE(Raw_Employee_Data!B27," ",Raw_Employee_Data!C27)</f>
        <v>Ashley Williams</v>
      </c>
      <c r="C27" t="str">
        <f>UPPER(TRIM(Raw_Employee_Data!D26:D183))</f>
        <v>SAL05</v>
      </c>
      <c r="D27" t="str">
        <f>VLOOKUP(C27,Lookup_Departments!$A$1:$B$7,2,)</f>
        <v>Sales</v>
      </c>
      <c r="E27" s="5">
        <v>45134</v>
      </c>
      <c r="F27" s="4">
        <f t="shared" ca="1" si="0"/>
        <v>2.9416666666666669</v>
      </c>
      <c r="G27" s="6">
        <v>81205</v>
      </c>
      <c r="H27">
        <v>59</v>
      </c>
      <c r="I27" t="str">
        <f>VLOOKUP(H27,Lookup_Performance!$A$1:$D$6,3)</f>
        <v>Developing</v>
      </c>
      <c r="J27" s="7">
        <f>VLOOKUP(H27,Lookup_Performance!$A$1:$D$6,4)</f>
        <v>0.02</v>
      </c>
      <c r="K27" t="str">
        <f>PROPER(TRIM(Raw_Employee_Data!H26:H183))</f>
        <v>Active</v>
      </c>
      <c r="L27" s="6">
        <f>Table1[[#This Row],[Salary]]*Table1[[#This Row],[Bonus_Percentage]]</f>
        <v>1624.1000000000001</v>
      </c>
    </row>
    <row r="28" spans="1:12" x14ac:dyDescent="0.25">
      <c r="A28" t="s">
        <v>79</v>
      </c>
      <c r="B28" t="str">
        <f>CONCATENATE(Raw_Employee_Data!B28," ",Raw_Employee_Data!C28)</f>
        <v xml:space="preserve"> Williams</v>
      </c>
      <c r="C28" t="str">
        <f>UPPER(TRIM(Raw_Employee_Data!D27:D184))</f>
        <v>SAL05</v>
      </c>
      <c r="D28" t="str">
        <f>VLOOKUP(C28,Lookup_Departments!$A$1:$B$7,2,)</f>
        <v>Sales</v>
      </c>
      <c r="E28" s="5">
        <v>43732</v>
      </c>
      <c r="F28" s="4">
        <f t="shared" ca="1" si="0"/>
        <v>6.7833333333333332</v>
      </c>
      <c r="G28" s="6">
        <v>77610</v>
      </c>
      <c r="H28">
        <v>88</v>
      </c>
      <c r="I28" t="str">
        <f>VLOOKUP(H28,Lookup_Performance!$A$1:$D$6,3)</f>
        <v>Exceeding</v>
      </c>
      <c r="J28" s="7">
        <f>VLOOKUP(H28,Lookup_Performance!$A$1:$D$6,4)</f>
        <v>0.08</v>
      </c>
      <c r="K28" t="str">
        <f>PROPER(TRIM(Raw_Employee_Data!H27:H184))</f>
        <v>Active</v>
      </c>
      <c r="L28" s="6">
        <f>Table1[[#This Row],[Salary]]*Table1[[#This Row],[Bonus_Percentage]]</f>
        <v>6208.8</v>
      </c>
    </row>
    <row r="29" spans="1:12" x14ac:dyDescent="0.25">
      <c r="A29" t="s">
        <v>82</v>
      </c>
      <c r="B29" t="str">
        <f>CONCATENATE(Raw_Employee_Data!B29," ",Raw_Employee_Data!C29)</f>
        <v>John Wilson</v>
      </c>
      <c r="C29" t="str">
        <f>UPPER(TRIM(Raw_Employee_Data!D28:D185))</f>
        <v>SAL05</v>
      </c>
      <c r="D29" t="str">
        <f>VLOOKUP(C29,Lookup_Departments!$A$1:$B$7,2,)</f>
        <v>Sales</v>
      </c>
      <c r="E29" s="5">
        <v>44765</v>
      </c>
      <c r="F29" s="4">
        <f t="shared" ca="1" si="0"/>
        <v>3.9527777777777779</v>
      </c>
      <c r="G29" s="6">
        <v>50873</v>
      </c>
      <c r="H29">
        <v>90</v>
      </c>
      <c r="I29" t="str">
        <f>VLOOKUP(H29,Lookup_Performance!$A$1:$D$6,3)</f>
        <v>Exceeding</v>
      </c>
      <c r="J29" s="7">
        <f>VLOOKUP(H29,Lookup_Performance!$A$1:$D$6,4)</f>
        <v>0.08</v>
      </c>
      <c r="K29" t="str">
        <f>PROPER(TRIM(Raw_Employee_Data!H28:H185))</f>
        <v>Active</v>
      </c>
      <c r="L29" s="6">
        <f>Table1[[#This Row],[Salary]]*Table1[[#This Row],[Bonus_Percentage]]</f>
        <v>4069.84</v>
      </c>
    </row>
    <row r="30" spans="1:12" x14ac:dyDescent="0.25">
      <c r="A30" t="s">
        <v>85</v>
      </c>
      <c r="B30" t="str">
        <f>CONCATENATE(Raw_Employee_Data!B30," ",Raw_Employee_Data!C30)</f>
        <v>Thomas Rodriguez</v>
      </c>
      <c r="C30" t="str">
        <f>UPPER(TRIM(Raw_Employee_Data!D29:D186))</f>
        <v>IT02</v>
      </c>
      <c r="D30" t="str">
        <f>VLOOKUP(C30,Lookup_Departments!$A$1:$B$7,2,)</f>
        <v>Information Technology</v>
      </c>
      <c r="E30" s="5">
        <v>43233</v>
      </c>
      <c r="F30" s="4">
        <f t="shared" ca="1" si="0"/>
        <v>8.1472222222222221</v>
      </c>
      <c r="G30" s="6">
        <v>85312</v>
      </c>
      <c r="H30">
        <v>66</v>
      </c>
      <c r="I30" t="str">
        <f>VLOOKUP(H30,Lookup_Performance!$A$1:$D$6,3)</f>
        <v>Developing</v>
      </c>
      <c r="J30" s="7">
        <f>VLOOKUP(H30,Lookup_Performance!$A$1:$D$6,4)</f>
        <v>0.02</v>
      </c>
      <c r="K30" t="str">
        <f>PROPER(TRIM(Raw_Employee_Data!H29:H186))</f>
        <v>Active</v>
      </c>
      <c r="L30" s="6">
        <f>Table1[[#This Row],[Salary]]*Table1[[#This Row],[Bonus_Percentage]]</f>
        <v>1706.24</v>
      </c>
    </row>
    <row r="31" spans="1:12" x14ac:dyDescent="0.25">
      <c r="A31" t="s">
        <v>88</v>
      </c>
      <c r="B31" t="str">
        <f>CONCATENATE(Raw_Employee_Data!B31," ",Raw_Employee_Data!C31)</f>
        <v>Michael Wilson</v>
      </c>
      <c r="C31" t="str">
        <f>UPPER(TRIM(Raw_Employee_Data!D30:D187))</f>
        <v>FIN03</v>
      </c>
      <c r="D31" t="str">
        <f>VLOOKUP(C31,Lookup_Departments!$A$1:$B$7,2,)</f>
        <v>Finance</v>
      </c>
      <c r="E31" s="5">
        <v>42202</v>
      </c>
      <c r="F31" s="4">
        <f t="shared" ca="1" si="0"/>
        <v>10.969444444444445</v>
      </c>
      <c r="G31" s="6">
        <v>83604</v>
      </c>
      <c r="H31">
        <v>68</v>
      </c>
      <c r="I31" t="str">
        <f>VLOOKUP(H31,Lookup_Performance!$A$1:$D$6,3)</f>
        <v>Developing</v>
      </c>
      <c r="J31" s="7">
        <f>VLOOKUP(H31,Lookup_Performance!$A$1:$D$6,4)</f>
        <v>0.02</v>
      </c>
      <c r="K31" t="str">
        <f>PROPER(TRIM(Raw_Employee_Data!H30:H187))</f>
        <v>Active</v>
      </c>
      <c r="L31" s="6">
        <f>Table1[[#This Row],[Salary]]*Table1[[#This Row],[Bonus_Percentage]]</f>
        <v>1672.08</v>
      </c>
    </row>
    <row r="32" spans="1:12" x14ac:dyDescent="0.25">
      <c r="A32" t="s">
        <v>89</v>
      </c>
      <c r="B32" t="str">
        <f>CONCATENATE(Raw_Employee_Data!B32," ",Raw_Employee_Data!C32)</f>
        <v>John Rodriguez</v>
      </c>
      <c r="C32" t="str">
        <f>UPPER(TRIM(Raw_Employee_Data!D31:D188))</f>
        <v>SAL05</v>
      </c>
      <c r="D32" t="str">
        <f>VLOOKUP(C32,Lookup_Departments!$A$1:$B$7,2,)</f>
        <v>Sales</v>
      </c>
      <c r="E32" s="5">
        <v>42221</v>
      </c>
      <c r="F32" s="4">
        <f t="shared" ca="1" si="0"/>
        <v>10.919444444444444</v>
      </c>
      <c r="G32" s="6">
        <v>97055</v>
      </c>
      <c r="H32">
        <v>80</v>
      </c>
      <c r="I32" t="str">
        <f>VLOOKUP(H32,Lookup_Performance!$A$1:$D$6,3)</f>
        <v>Achieving</v>
      </c>
      <c r="J32" s="7">
        <f>VLOOKUP(H32,Lookup_Performance!$A$1:$D$6,4)</f>
        <v>0.05</v>
      </c>
      <c r="K32" t="str">
        <f>PROPER(TRIM(Raw_Employee_Data!H31:H188))</f>
        <v>Active</v>
      </c>
      <c r="L32" s="6">
        <f>Table1[[#This Row],[Salary]]*Table1[[#This Row],[Bonus_Percentage]]</f>
        <v>4852.75</v>
      </c>
    </row>
    <row r="33" spans="1:12" x14ac:dyDescent="0.25">
      <c r="A33" t="s">
        <v>91</v>
      </c>
      <c r="B33" t="str">
        <f>CONCATENATE(Raw_Employee_Data!B33," ",Raw_Employee_Data!C33)</f>
        <v>Thomas Hernandez</v>
      </c>
      <c r="C33" t="str">
        <f>UPPER(TRIM(Raw_Employee_Data!D32:D189))</f>
        <v>OPS06</v>
      </c>
      <c r="D33" t="str">
        <f>VLOOKUP(C33,Lookup_Departments!$A$1:$B$7,2,)</f>
        <v>Operations</v>
      </c>
      <c r="E33" s="5">
        <v>45195</v>
      </c>
      <c r="F33" s="4">
        <f t="shared" ca="1" si="0"/>
        <v>2.7777777777777777</v>
      </c>
      <c r="G33" s="6">
        <v>66069</v>
      </c>
      <c r="H33">
        <v>72</v>
      </c>
      <c r="I33" t="str">
        <f>VLOOKUP(H33,Lookup_Performance!$A$1:$D$6,3)</f>
        <v>Achieving</v>
      </c>
      <c r="J33" s="7">
        <f>VLOOKUP(H33,Lookup_Performance!$A$1:$D$6,4)</f>
        <v>0.05</v>
      </c>
      <c r="K33" t="str">
        <f>PROPER(TRIM(Raw_Employee_Data!H32:H189))</f>
        <v>Active</v>
      </c>
      <c r="L33" s="6">
        <f>Table1[[#This Row],[Salary]]*Table1[[#This Row],[Bonus_Percentage]]</f>
        <v>3303.4500000000003</v>
      </c>
    </row>
    <row r="34" spans="1:12" x14ac:dyDescent="0.25">
      <c r="A34" t="s">
        <v>92</v>
      </c>
      <c r="B34" t="str">
        <f>CONCATENATE(Raw_Employee_Data!B34," ",Raw_Employee_Data!C34)</f>
        <v>Michael Johnson</v>
      </c>
      <c r="C34" t="str">
        <f>UPPER(TRIM(Raw_Employee_Data!D33:D190))</f>
        <v>IT02</v>
      </c>
      <c r="D34" t="str">
        <f>VLOOKUP(C34,Lookup_Departments!$A$1:$B$7,2,)</f>
        <v>Information Technology</v>
      </c>
      <c r="E34" s="5">
        <v>43626</v>
      </c>
      <c r="F34" s="4">
        <f t="shared" ca="1" si="0"/>
        <v>7.072222222222222</v>
      </c>
      <c r="G34" s="6">
        <v>90157</v>
      </c>
      <c r="H34">
        <v>58</v>
      </c>
      <c r="I34" t="str">
        <f>VLOOKUP(H34,Lookup_Performance!$A$1:$D$6,3)</f>
        <v>Developing</v>
      </c>
      <c r="J34" s="7">
        <f>VLOOKUP(H34,Lookup_Performance!$A$1:$D$6,4)</f>
        <v>0.02</v>
      </c>
      <c r="K34" t="str">
        <f>PROPER(TRIM(Raw_Employee_Data!H33:H190))</f>
        <v>Active</v>
      </c>
      <c r="L34" s="6">
        <f>Table1[[#This Row],[Salary]]*Table1[[#This Row],[Bonus_Percentage]]</f>
        <v>1803.14</v>
      </c>
    </row>
    <row r="35" spans="1:12" x14ac:dyDescent="0.25">
      <c r="A35" t="s">
        <v>95</v>
      </c>
      <c r="B35" t="str">
        <f>CONCATENATE(Raw_Employee_Data!B35," ",Raw_Employee_Data!C35)</f>
        <v>Sarah Brown</v>
      </c>
      <c r="C35" t="str">
        <f>UPPER(TRIM(Raw_Employee_Data!D34:D191))</f>
        <v>IT02</v>
      </c>
      <c r="D35" t="str">
        <f>VLOOKUP(C35,Lookup_Departments!$A$1:$B$7,2,)</f>
        <v>Information Technology</v>
      </c>
      <c r="E35" s="5">
        <v>44578</v>
      </c>
      <c r="F35" s="4">
        <f t="shared" ca="1" si="0"/>
        <v>4.4694444444444441</v>
      </c>
      <c r="G35" s="6">
        <v>59899</v>
      </c>
      <c r="H35">
        <v>78</v>
      </c>
      <c r="I35" t="str">
        <f>VLOOKUP(H35,Lookup_Performance!$A$1:$D$6,3)</f>
        <v>Achieving</v>
      </c>
      <c r="J35" s="7">
        <f>VLOOKUP(H35,Lookup_Performance!$A$1:$D$6,4)</f>
        <v>0.05</v>
      </c>
      <c r="K35" t="str">
        <f>PROPER(TRIM(Raw_Employee_Data!H34:H191))</f>
        <v>Active</v>
      </c>
      <c r="L35" s="6">
        <f>Table1[[#This Row],[Salary]]*Table1[[#This Row],[Bonus_Percentage]]</f>
        <v>2994.9500000000003</v>
      </c>
    </row>
    <row r="36" spans="1:12" x14ac:dyDescent="0.25">
      <c r="A36" t="s">
        <v>97</v>
      </c>
      <c r="B36" t="str">
        <f>CONCATENATE(Raw_Employee_Data!B36," ",Raw_Employee_Data!C36)</f>
        <v>Jane Martinez</v>
      </c>
      <c r="C36" t="str">
        <f>UPPER(TRIM(Raw_Employee_Data!D35:D192))</f>
        <v>HR01</v>
      </c>
      <c r="D36" t="str">
        <f>VLOOKUP(C36,Lookup_Departments!$A$1:$B$7,2,)</f>
        <v>Human Resources</v>
      </c>
      <c r="E36" s="5">
        <v>42919</v>
      </c>
      <c r="F36" s="4">
        <f t="shared" ca="1" si="0"/>
        <v>9.0083333333333329</v>
      </c>
      <c r="G36" s="6">
        <v>113389</v>
      </c>
      <c r="H36">
        <v>30</v>
      </c>
      <c r="I36" t="str">
        <f>VLOOKUP(H36,Lookup_Performance!$A$1:$D$6,3)</f>
        <v>Needs Improvement</v>
      </c>
      <c r="J36" s="7">
        <f>VLOOKUP(H36,Lookup_Performance!$A$1:$D$6,4)</f>
        <v>0</v>
      </c>
      <c r="K36" t="str">
        <f>PROPER(TRIM(Raw_Employee_Data!H35:H192))</f>
        <v>Active</v>
      </c>
      <c r="L36" s="6">
        <f>Table1[[#This Row],[Salary]]*Table1[[#This Row],[Bonus_Percentage]]</f>
        <v>0</v>
      </c>
    </row>
    <row r="37" spans="1:12" x14ac:dyDescent="0.25">
      <c r="A37" t="s">
        <v>99</v>
      </c>
      <c r="B37" t="str">
        <f>CONCATENATE(Raw_Employee_Data!B37," ",Raw_Employee_Data!C37)</f>
        <v>Emily Jones</v>
      </c>
      <c r="C37" t="str">
        <f>UPPER(TRIM(Raw_Employee_Data!D36:D193))</f>
        <v>FIN03</v>
      </c>
      <c r="D37" t="str">
        <f>VLOOKUP(C37,Lookup_Departments!$A$1:$B$7,2,)</f>
        <v>Finance</v>
      </c>
      <c r="E37" s="5">
        <v>42248</v>
      </c>
      <c r="F37" s="4">
        <f t="shared" ca="1" si="0"/>
        <v>10.847222222222221</v>
      </c>
      <c r="G37" s="6">
        <v>102691</v>
      </c>
      <c r="H37">
        <v>52</v>
      </c>
      <c r="I37" t="str">
        <f>VLOOKUP(H37,Lookup_Performance!$A$1:$D$6,3)</f>
        <v>Developing</v>
      </c>
      <c r="J37" s="7">
        <f>VLOOKUP(H37,Lookup_Performance!$A$1:$D$6,4)</f>
        <v>0.02</v>
      </c>
      <c r="K37" t="str">
        <f>PROPER(TRIM(Raw_Employee_Data!H36:H193))</f>
        <v>Active</v>
      </c>
      <c r="L37" s="6">
        <f>Table1[[#This Row],[Salary]]*Table1[[#This Row],[Bonus_Percentage]]</f>
        <v>2053.8200000000002</v>
      </c>
    </row>
    <row r="38" spans="1:12" x14ac:dyDescent="0.25">
      <c r="A38" t="s">
        <v>101</v>
      </c>
      <c r="B38" t="str">
        <f>CONCATENATE(Raw_Employee_Data!B38," ",Raw_Employee_Data!C38)</f>
        <v xml:space="preserve"> Brown</v>
      </c>
      <c r="C38" t="str">
        <f>UPPER(TRIM(Raw_Employee_Data!D37:D194))</f>
        <v>IT02</v>
      </c>
      <c r="D38" t="str">
        <f>VLOOKUP(C38,Lookup_Departments!$A$1:$B$7,2,)</f>
        <v>Information Technology</v>
      </c>
      <c r="E38" s="5">
        <v>44776</v>
      </c>
      <c r="F38" s="4">
        <f t="shared" ca="1" si="0"/>
        <v>3.9249999999999998</v>
      </c>
      <c r="G38" s="6">
        <v>111845</v>
      </c>
      <c r="H38">
        <v>98</v>
      </c>
      <c r="I38" t="str">
        <f>VLOOKUP(H38,Lookup_Performance!$A$1:$D$6,3)</f>
        <v>Outstanding</v>
      </c>
      <c r="J38" s="7">
        <f>VLOOKUP(H38,Lookup_Performance!$A$1:$D$6,4)</f>
        <v>0.12</v>
      </c>
      <c r="K38" t="str">
        <f>PROPER(TRIM(Raw_Employee_Data!H37:H194))</f>
        <v>Active</v>
      </c>
      <c r="L38" s="6">
        <f>Table1[[#This Row],[Salary]]*Table1[[#This Row],[Bonus_Percentage]]</f>
        <v>13421.4</v>
      </c>
    </row>
    <row r="39" spans="1:12" x14ac:dyDescent="0.25">
      <c r="A39" t="s">
        <v>103</v>
      </c>
      <c r="B39" t="str">
        <f>CONCATENATE(Raw_Employee_Data!B39," ",Raw_Employee_Data!C39)</f>
        <v>John Wilson</v>
      </c>
      <c r="C39" t="str">
        <f>UPPER(TRIM(Raw_Employee_Data!D38:D195))</f>
        <v>OPS06</v>
      </c>
      <c r="D39" t="str">
        <f>VLOOKUP(C39,Lookup_Departments!$A$1:$B$7,2,)</f>
        <v>Operations</v>
      </c>
      <c r="E39" s="5">
        <v>44741</v>
      </c>
      <c r="F39" s="4">
        <f t="shared" ca="1" si="0"/>
        <v>4.0194444444444448</v>
      </c>
      <c r="G39" s="6">
        <v>69219</v>
      </c>
      <c r="H39">
        <v>93</v>
      </c>
      <c r="I39" t="str">
        <f>VLOOKUP(H39,Lookup_Performance!$A$1:$D$6,3)</f>
        <v>Exceeding</v>
      </c>
      <c r="J39" s="7">
        <f>VLOOKUP(H39,Lookup_Performance!$A$1:$D$6,4)</f>
        <v>0.08</v>
      </c>
      <c r="K39" t="str">
        <f>PROPER(TRIM(Raw_Employee_Data!H38:H195))</f>
        <v>Active</v>
      </c>
      <c r="L39" s="6">
        <f>Table1[[#This Row],[Salary]]*Table1[[#This Row],[Bonus_Percentage]]</f>
        <v>5537.52</v>
      </c>
    </row>
    <row r="40" spans="1:12" x14ac:dyDescent="0.25">
      <c r="A40" t="s">
        <v>106</v>
      </c>
      <c r="B40" t="str">
        <f>CONCATENATE(Raw_Employee_Data!B40," ",Raw_Employee_Data!C40)</f>
        <v>Melissa Brown</v>
      </c>
      <c r="C40" t="str">
        <f>UPPER(TRIM(Raw_Employee_Data!D39:D196))</f>
        <v>SAL05</v>
      </c>
      <c r="D40" t="str">
        <f>VLOOKUP(C40,Lookup_Departments!$A$1:$B$7,2,)</f>
        <v>Sales</v>
      </c>
      <c r="E40" s="5">
        <v>43949</v>
      </c>
      <c r="F40" s="4">
        <f t="shared" ca="1" si="0"/>
        <v>6.1888888888888891</v>
      </c>
      <c r="G40" s="6">
        <v>83604</v>
      </c>
      <c r="H40">
        <v>80</v>
      </c>
      <c r="I40" t="str">
        <f>VLOOKUP(H40,Lookup_Performance!$A$1:$D$6,3)</f>
        <v>Achieving</v>
      </c>
      <c r="J40" s="7">
        <f>VLOOKUP(H40,Lookup_Performance!$A$1:$D$6,4)</f>
        <v>0.05</v>
      </c>
      <c r="K40" t="str">
        <f>PROPER(TRIM(Raw_Employee_Data!H39:H196))</f>
        <v>Active</v>
      </c>
      <c r="L40" s="6">
        <f>Table1[[#This Row],[Salary]]*Table1[[#This Row],[Bonus_Percentage]]</f>
        <v>4180.2</v>
      </c>
    </row>
    <row r="41" spans="1:12" x14ac:dyDescent="0.25">
      <c r="A41" t="s">
        <v>108</v>
      </c>
      <c r="B41" t="str">
        <f>CONCATENATE(Raw_Employee_Data!B41," ",Raw_Employee_Data!C41)</f>
        <v>Michael Smith</v>
      </c>
      <c r="C41" t="str">
        <f>UPPER(TRIM(Raw_Employee_Data!D40:D197))</f>
        <v>FIN03</v>
      </c>
      <c r="D41" t="str">
        <f>VLOOKUP(C41,Lookup_Departments!$A$1:$B$7,2,)</f>
        <v>Finance</v>
      </c>
      <c r="E41" s="5">
        <v>42987</v>
      </c>
      <c r="F41" s="4">
        <f t="shared" ca="1" si="0"/>
        <v>8.8249999999999993</v>
      </c>
      <c r="G41" s="6">
        <v>57514</v>
      </c>
      <c r="H41">
        <v>68</v>
      </c>
      <c r="I41" t="str">
        <f>VLOOKUP(H41,Lookup_Performance!$A$1:$D$6,3)</f>
        <v>Developing</v>
      </c>
      <c r="J41" s="7">
        <f>VLOOKUP(H41,Lookup_Performance!$A$1:$D$6,4)</f>
        <v>0.02</v>
      </c>
      <c r="K41" t="str">
        <f>PROPER(TRIM(Raw_Employee_Data!H40:H197))</f>
        <v>Left</v>
      </c>
      <c r="L41" s="6">
        <f>Table1[[#This Row],[Salary]]*Table1[[#This Row],[Bonus_Percentage]]</f>
        <v>1150.28</v>
      </c>
    </row>
    <row r="42" spans="1:12" x14ac:dyDescent="0.25">
      <c r="A42" t="s">
        <v>110</v>
      </c>
      <c r="B42" t="str">
        <f>CONCATENATE(Raw_Employee_Data!B42," ",Raw_Employee_Data!C42)</f>
        <v>Sarah Miller</v>
      </c>
      <c r="C42" t="str">
        <f>UPPER(TRIM(Raw_Employee_Data!D41:D198))</f>
        <v>OPS06</v>
      </c>
      <c r="D42" t="str">
        <f>VLOOKUP(C42,Lookup_Departments!$A$1:$B$7,2,)</f>
        <v>Operations</v>
      </c>
      <c r="E42" s="5">
        <v>43181</v>
      </c>
      <c r="F42" s="4">
        <f t="shared" ca="1" si="0"/>
        <v>8.2888888888888896</v>
      </c>
      <c r="G42" s="6">
        <v>86245</v>
      </c>
      <c r="H42">
        <v>71</v>
      </c>
      <c r="I42" t="str">
        <f>VLOOKUP(H42,Lookup_Performance!$A$1:$D$6,3)</f>
        <v>Achieving</v>
      </c>
      <c r="J42" s="7">
        <f>VLOOKUP(H42,Lookup_Performance!$A$1:$D$6,4)</f>
        <v>0.05</v>
      </c>
      <c r="K42" t="str">
        <f>PROPER(TRIM(Raw_Employee_Data!H41:H198))</f>
        <v>Active</v>
      </c>
      <c r="L42" s="6">
        <f>Table1[[#This Row],[Salary]]*Table1[[#This Row],[Bonus_Percentage]]</f>
        <v>4312.25</v>
      </c>
    </row>
    <row r="43" spans="1:12" x14ac:dyDescent="0.25">
      <c r="A43" t="s">
        <v>111</v>
      </c>
      <c r="B43" t="str">
        <f>CONCATENATE(Raw_Employee_Data!B43," ",Raw_Employee_Data!C43)</f>
        <v>Emily Wilson</v>
      </c>
      <c r="C43" t="str">
        <f>UPPER(TRIM(Raw_Employee_Data!D42:D199))</f>
        <v>SAL05</v>
      </c>
      <c r="D43" t="str">
        <f>VLOOKUP(C43,Lookup_Departments!$A$1:$B$7,2,)</f>
        <v>Sales</v>
      </c>
      <c r="E43" s="5">
        <v>43958</v>
      </c>
      <c r="F43" s="4">
        <f t="shared" ca="1" si="0"/>
        <v>6.1638888888888888</v>
      </c>
      <c r="G43" s="6">
        <v>52407</v>
      </c>
      <c r="H43">
        <v>55</v>
      </c>
      <c r="I43" t="str">
        <f>VLOOKUP(H43,Lookup_Performance!$A$1:$D$6,3)</f>
        <v>Developing</v>
      </c>
      <c r="J43" s="7">
        <f>VLOOKUP(H43,Lookup_Performance!$A$1:$D$6,4)</f>
        <v>0.02</v>
      </c>
      <c r="K43" t="str">
        <f>PROPER(TRIM(Raw_Employee_Data!H42:H199))</f>
        <v>Left</v>
      </c>
      <c r="L43" s="6">
        <f>Table1[[#This Row],[Salary]]*Table1[[#This Row],[Bonus_Percentage]]</f>
        <v>1048.1400000000001</v>
      </c>
    </row>
    <row r="44" spans="1:12" x14ac:dyDescent="0.25">
      <c r="A44" t="s">
        <v>113</v>
      </c>
      <c r="B44" t="str">
        <f>CONCATENATE(Raw_Employee_Data!B44," ",Raw_Employee_Data!C44)</f>
        <v>David Hernandez</v>
      </c>
      <c r="C44" t="str">
        <f>UPPER(TRIM(Raw_Employee_Data!D43:D200))</f>
        <v>SAL05</v>
      </c>
      <c r="D44" t="str">
        <f>VLOOKUP(C44,Lookup_Departments!$A$1:$B$7,2,)</f>
        <v>Sales</v>
      </c>
      <c r="E44" s="5">
        <v>43549</v>
      </c>
      <c r="F44" s="4">
        <f t="shared" ca="1" si="0"/>
        <v>7.2805555555555559</v>
      </c>
      <c r="G44" s="6">
        <v>66606</v>
      </c>
      <c r="H44">
        <v>93</v>
      </c>
      <c r="I44" t="str">
        <f>VLOOKUP(H44,Lookup_Performance!$A$1:$D$6,3)</f>
        <v>Exceeding</v>
      </c>
      <c r="J44" s="7">
        <f>VLOOKUP(H44,Lookup_Performance!$A$1:$D$6,4)</f>
        <v>0.08</v>
      </c>
      <c r="K44" t="str">
        <f>PROPER(TRIM(Raw_Employee_Data!H43:H200))</f>
        <v>Active</v>
      </c>
      <c r="L44" s="6">
        <f>Table1[[#This Row],[Salary]]*Table1[[#This Row],[Bonus_Percentage]]</f>
        <v>5328.4800000000005</v>
      </c>
    </row>
    <row r="45" spans="1:12" x14ac:dyDescent="0.25">
      <c r="A45" t="s">
        <v>116</v>
      </c>
      <c r="B45" t="str">
        <f>CONCATENATE(Raw_Employee_Data!B45," ",Raw_Employee_Data!C45)</f>
        <v>James Smith</v>
      </c>
      <c r="C45" t="str">
        <f>UPPER(TRIM(Raw_Employee_Data!D44:D201))</f>
        <v>OPS06</v>
      </c>
      <c r="D45" t="str">
        <f>VLOOKUP(C45,Lookup_Departments!$A$1:$B$7,2,)</f>
        <v>Operations</v>
      </c>
      <c r="E45" s="5">
        <v>43686</v>
      </c>
      <c r="F45" s="4">
        <f t="shared" ca="1" si="0"/>
        <v>6.9083333333333332</v>
      </c>
      <c r="G45" s="6">
        <v>81896</v>
      </c>
      <c r="H45">
        <v>79</v>
      </c>
      <c r="I45" t="str">
        <f>VLOOKUP(H45,Lookup_Performance!$A$1:$D$6,3)</f>
        <v>Achieving</v>
      </c>
      <c r="J45" s="7">
        <f>VLOOKUP(H45,Lookup_Performance!$A$1:$D$6,4)</f>
        <v>0.05</v>
      </c>
      <c r="K45" t="str">
        <f>PROPER(TRIM(Raw_Employee_Data!H44:H201))</f>
        <v>Resigned</v>
      </c>
      <c r="L45" s="6">
        <f>Table1[[#This Row],[Salary]]*Table1[[#This Row],[Bonus_Percentage]]</f>
        <v>4094.8</v>
      </c>
    </row>
    <row r="46" spans="1:12" x14ac:dyDescent="0.25">
      <c r="A46" t="s">
        <v>117</v>
      </c>
      <c r="B46" t="str">
        <f>CONCATENATE(Raw_Employee_Data!B46," ",Raw_Employee_Data!C46)</f>
        <v>Sarah Williams</v>
      </c>
      <c r="C46" t="str">
        <f>UPPER(TRIM(Raw_Employee_Data!D45:D202))</f>
        <v>IT02</v>
      </c>
      <c r="D46" t="str">
        <f>VLOOKUP(C46,Lookup_Departments!$A$1:$B$7,2,)</f>
        <v>Information Technology</v>
      </c>
      <c r="E46" s="5">
        <v>42565</v>
      </c>
      <c r="F46" s="4">
        <f t="shared" ca="1" si="0"/>
        <v>9.9777777777777779</v>
      </c>
      <c r="G46" s="6">
        <v>78402</v>
      </c>
      <c r="H46">
        <v>54</v>
      </c>
      <c r="I46" t="str">
        <f>VLOOKUP(H46,Lookup_Performance!$A$1:$D$6,3)</f>
        <v>Developing</v>
      </c>
      <c r="J46" s="7">
        <f>VLOOKUP(H46,Lookup_Performance!$A$1:$D$6,4)</f>
        <v>0.02</v>
      </c>
      <c r="K46" t="str">
        <f>PROPER(TRIM(Raw_Employee_Data!H45:H202))</f>
        <v>Resigned</v>
      </c>
      <c r="L46" s="6">
        <f>Table1[[#This Row],[Salary]]*Table1[[#This Row],[Bonus_Percentage]]</f>
        <v>1568.04</v>
      </c>
    </row>
    <row r="47" spans="1:12" x14ac:dyDescent="0.25">
      <c r="A47" t="s">
        <v>119</v>
      </c>
      <c r="B47" t="str">
        <f>CONCATENATE(Raw_Employee_Data!B47," ",Raw_Employee_Data!C47)</f>
        <v>Amanda Lopez</v>
      </c>
      <c r="C47" t="str">
        <f>UPPER(TRIM(Raw_Employee_Data!D46:D203))</f>
        <v>SAL05</v>
      </c>
      <c r="D47" t="str">
        <f>VLOOKUP(C47,Lookup_Departments!$A$1:$B$7,2,)</f>
        <v>Sales</v>
      </c>
      <c r="E47" s="5">
        <v>42647</v>
      </c>
      <c r="F47" s="4">
        <f t="shared" ca="1" si="0"/>
        <v>9.7555555555555564</v>
      </c>
      <c r="G47" s="6">
        <v>105498</v>
      </c>
      <c r="H47">
        <v>76</v>
      </c>
      <c r="I47" t="str">
        <f>VLOOKUP(H47,Lookup_Performance!$A$1:$D$6,3)</f>
        <v>Achieving</v>
      </c>
      <c r="J47" s="7">
        <f>VLOOKUP(H47,Lookup_Performance!$A$1:$D$6,4)</f>
        <v>0.05</v>
      </c>
      <c r="K47" t="str">
        <f>PROPER(TRIM(Raw_Employee_Data!H46:H203))</f>
        <v>Active</v>
      </c>
      <c r="L47" s="6">
        <f>Table1[[#This Row],[Salary]]*Table1[[#This Row],[Bonus_Percentage]]</f>
        <v>5274.9000000000005</v>
      </c>
    </row>
    <row r="48" spans="1:12" x14ac:dyDescent="0.25">
      <c r="A48" t="s">
        <v>120</v>
      </c>
      <c r="B48" t="str">
        <f>CONCATENATE(Raw_Employee_Data!B48," ",Raw_Employee_Data!C48)</f>
        <v>Thomas Lopez</v>
      </c>
      <c r="C48" t="str">
        <f>UPPER(TRIM(Raw_Employee_Data!D47:D204))</f>
        <v>OPS06</v>
      </c>
      <c r="D48" t="str">
        <f>VLOOKUP(C48,Lookup_Departments!$A$1:$B$7,2,)</f>
        <v>Operations</v>
      </c>
      <c r="E48" s="5">
        <v>43656</v>
      </c>
      <c r="F48" s="4">
        <f t="shared" ca="1" si="0"/>
        <v>6.9888888888888889</v>
      </c>
      <c r="G48" s="6">
        <v>91749</v>
      </c>
      <c r="H48">
        <v>72</v>
      </c>
      <c r="I48" t="str">
        <f>VLOOKUP(H48,Lookup_Performance!$A$1:$D$6,3)</f>
        <v>Achieving</v>
      </c>
      <c r="J48" s="7">
        <f>VLOOKUP(H48,Lookup_Performance!$A$1:$D$6,4)</f>
        <v>0.05</v>
      </c>
      <c r="K48" t="str">
        <f>PROPER(TRIM(Raw_Employee_Data!H47:H204))</f>
        <v>Active</v>
      </c>
      <c r="L48" s="6">
        <f>Table1[[#This Row],[Salary]]*Table1[[#This Row],[Bonus_Percentage]]</f>
        <v>4587.45</v>
      </c>
    </row>
    <row r="49" spans="1:12" x14ac:dyDescent="0.25">
      <c r="A49" t="s">
        <v>122</v>
      </c>
      <c r="B49" t="str">
        <f>CONCATENATE(Raw_Employee_Data!B49," ",Raw_Employee_Data!C49)</f>
        <v>Melissa Johnson</v>
      </c>
      <c r="C49" t="str">
        <f>UPPER(TRIM(Raw_Employee_Data!D48:D205))</f>
        <v>MKT04</v>
      </c>
      <c r="D49" t="str">
        <f>VLOOKUP(C49,Lookup_Departments!$A$1:$B$7,2,)</f>
        <v>Marketing</v>
      </c>
      <c r="E49" s="5">
        <v>44437</v>
      </c>
      <c r="F49" s="4">
        <f t="shared" ca="1" si="0"/>
        <v>4.8527777777777779</v>
      </c>
      <c r="G49" s="6">
        <v>99935</v>
      </c>
      <c r="H49">
        <v>84</v>
      </c>
      <c r="I49" t="str">
        <f>VLOOKUP(H49,Lookup_Performance!$A$1:$D$6,3)</f>
        <v>Achieving</v>
      </c>
      <c r="J49" s="7">
        <f>VLOOKUP(H49,Lookup_Performance!$A$1:$D$6,4)</f>
        <v>0.05</v>
      </c>
      <c r="K49" t="str">
        <f>PROPER(TRIM(Raw_Employee_Data!H48:H205))</f>
        <v>Left</v>
      </c>
      <c r="L49" s="6">
        <f>Table1[[#This Row],[Salary]]*Table1[[#This Row],[Bonus_Percentage]]</f>
        <v>4996.75</v>
      </c>
    </row>
    <row r="50" spans="1:12" x14ac:dyDescent="0.25">
      <c r="A50" t="s">
        <v>123</v>
      </c>
      <c r="B50" t="str">
        <f>CONCATENATE(Raw_Employee_Data!B50," ",Raw_Employee_Data!C50)</f>
        <v>Amanda Johnson</v>
      </c>
      <c r="C50" t="str">
        <f>UPPER(TRIM(Raw_Employee_Data!D49:D206))</f>
        <v>OPS06</v>
      </c>
      <c r="D50" t="str">
        <f>VLOOKUP(C50,Lookup_Departments!$A$1:$B$7,2,)</f>
        <v>Operations</v>
      </c>
      <c r="E50" s="5">
        <v>42761</v>
      </c>
      <c r="F50" s="4">
        <f t="shared" ca="1" si="0"/>
        <v>9.4444444444444446</v>
      </c>
      <c r="G50" s="6">
        <v>83531</v>
      </c>
      <c r="H50">
        <v>30</v>
      </c>
      <c r="I50" t="str">
        <f>VLOOKUP(H50,Lookup_Performance!$A$1:$D$6,3)</f>
        <v>Needs Improvement</v>
      </c>
      <c r="J50" s="7">
        <f>VLOOKUP(H50,Lookup_Performance!$A$1:$D$6,4)</f>
        <v>0</v>
      </c>
      <c r="K50" t="str">
        <f>PROPER(TRIM(Raw_Employee_Data!H49:H206))</f>
        <v>Resigned</v>
      </c>
      <c r="L50" s="6">
        <f>Table1[[#This Row],[Salary]]*Table1[[#This Row],[Bonus_Percentage]]</f>
        <v>0</v>
      </c>
    </row>
    <row r="51" spans="1:12" x14ac:dyDescent="0.25">
      <c r="A51" t="s">
        <v>124</v>
      </c>
      <c r="B51" t="str">
        <f>CONCATENATE(Raw_Employee_Data!B51," ",Raw_Employee_Data!C51)</f>
        <v>John Davis</v>
      </c>
      <c r="C51" t="str">
        <f>UPPER(TRIM(Raw_Employee_Data!D50:D207))</f>
        <v>IT02</v>
      </c>
      <c r="D51" t="str">
        <f>VLOOKUP(C51,Lookup_Departments!$A$1:$B$7,2,)</f>
        <v>Information Technology</v>
      </c>
      <c r="E51" s="5">
        <v>43981</v>
      </c>
      <c r="F51" s="4">
        <f t="shared" ca="1" si="0"/>
        <v>6.1</v>
      </c>
      <c r="G51" s="6">
        <v>75023</v>
      </c>
      <c r="H51">
        <v>68</v>
      </c>
      <c r="I51" t="str">
        <f>VLOOKUP(H51,Lookup_Performance!$A$1:$D$6,3)</f>
        <v>Developing</v>
      </c>
      <c r="J51" s="7">
        <f>VLOOKUP(H51,Lookup_Performance!$A$1:$D$6,4)</f>
        <v>0.02</v>
      </c>
      <c r="K51" t="str">
        <f>PROPER(TRIM(Raw_Employee_Data!H50:H207))</f>
        <v>Left</v>
      </c>
      <c r="L51" s="6">
        <f>Table1[[#This Row],[Salary]]*Table1[[#This Row],[Bonus_Percentage]]</f>
        <v>1500.46</v>
      </c>
    </row>
    <row r="52" spans="1:12" x14ac:dyDescent="0.25">
      <c r="A52" t="s">
        <v>126</v>
      </c>
      <c r="B52" t="str">
        <f>CONCATENATE(Raw_Employee_Data!B52," ",Raw_Employee_Data!C52)</f>
        <v>James Johnson</v>
      </c>
      <c r="C52" t="str">
        <f>UPPER(TRIM(Raw_Employee_Data!D51:D208))</f>
        <v>MKT04</v>
      </c>
      <c r="D52" t="str">
        <f>VLOOKUP(C52,Lookup_Departments!$A$1:$B$7,2,)</f>
        <v>Marketing</v>
      </c>
      <c r="E52" s="5">
        <v>44612</v>
      </c>
      <c r="F52" s="4">
        <f t="shared" ca="1" si="0"/>
        <v>4.3777777777777782</v>
      </c>
      <c r="G52" s="6">
        <v>93290</v>
      </c>
      <c r="H52">
        <v>53</v>
      </c>
      <c r="I52" t="str">
        <f>VLOOKUP(H52,Lookup_Performance!$A$1:$D$6,3)</f>
        <v>Developing</v>
      </c>
      <c r="J52" s="7">
        <f>VLOOKUP(H52,Lookup_Performance!$A$1:$D$6,4)</f>
        <v>0.02</v>
      </c>
      <c r="K52" t="str">
        <f>PROPER(TRIM(Raw_Employee_Data!H51:H208))</f>
        <v>Active</v>
      </c>
      <c r="L52" s="6">
        <f>Table1[[#This Row],[Salary]]*Table1[[#This Row],[Bonus_Percentage]]</f>
        <v>1865.8</v>
      </c>
    </row>
    <row r="53" spans="1:12" x14ac:dyDescent="0.25">
      <c r="A53" t="s">
        <v>127</v>
      </c>
      <c r="B53" t="str">
        <f>CONCATENATE(Raw_Employee_Data!B53," ",Raw_Employee_Data!C53)</f>
        <v>Jane Davis</v>
      </c>
      <c r="C53" t="str">
        <f>UPPER(TRIM(Raw_Employee_Data!D52:D209))</f>
        <v>HR01</v>
      </c>
      <c r="D53" t="str">
        <f>VLOOKUP(C53,Lookup_Departments!$A$1:$B$7,2,)</f>
        <v>Human Resources</v>
      </c>
      <c r="E53" s="5">
        <v>42628</v>
      </c>
      <c r="F53" s="4">
        <f t="shared" ca="1" si="0"/>
        <v>9.8083333333333336</v>
      </c>
      <c r="G53" s="6">
        <v>115527</v>
      </c>
      <c r="H53">
        <v>63</v>
      </c>
      <c r="I53" t="str">
        <f>VLOOKUP(H53,Lookup_Performance!$A$1:$D$6,3)</f>
        <v>Developing</v>
      </c>
      <c r="J53" s="7">
        <f>VLOOKUP(H53,Lookup_Performance!$A$1:$D$6,4)</f>
        <v>0.02</v>
      </c>
      <c r="K53" t="str">
        <f>PROPER(TRIM(Raw_Employee_Data!H52:H209))</f>
        <v>Active</v>
      </c>
      <c r="L53" s="6">
        <f>Table1[[#This Row],[Salary]]*Table1[[#This Row],[Bonus_Percentage]]</f>
        <v>2310.54</v>
      </c>
    </row>
    <row r="54" spans="1:12" x14ac:dyDescent="0.25">
      <c r="A54" t="s">
        <v>128</v>
      </c>
      <c r="B54" t="str">
        <f>CONCATENATE(Raw_Employee_Data!B54," ",Raw_Employee_Data!C54)</f>
        <v>Richard Davis</v>
      </c>
      <c r="C54" t="str">
        <f>UPPER(TRIM(Raw_Employee_Data!D53:D210))</f>
        <v>OPS06</v>
      </c>
      <c r="D54" t="str">
        <f>VLOOKUP(C54,Lookup_Departments!$A$1:$B$7,2,)</f>
        <v>Operations</v>
      </c>
      <c r="E54" s="5">
        <v>43656</v>
      </c>
      <c r="F54" s="4">
        <f t="shared" ca="1" si="0"/>
        <v>6.9888888888888889</v>
      </c>
      <c r="G54" s="6">
        <v>55920</v>
      </c>
      <c r="H54">
        <v>84</v>
      </c>
      <c r="I54" t="str">
        <f>VLOOKUP(H54,Lookup_Performance!$A$1:$D$6,3)</f>
        <v>Achieving</v>
      </c>
      <c r="J54" s="7">
        <f>VLOOKUP(H54,Lookup_Performance!$A$1:$D$6,4)</f>
        <v>0.05</v>
      </c>
      <c r="K54" t="str">
        <f>PROPER(TRIM(Raw_Employee_Data!H53:H210))</f>
        <v>Resigned</v>
      </c>
      <c r="L54" s="6">
        <f>Table1[[#This Row],[Salary]]*Table1[[#This Row],[Bonus_Percentage]]</f>
        <v>2796</v>
      </c>
    </row>
    <row r="55" spans="1:12" x14ac:dyDescent="0.25">
      <c r="A55" t="s">
        <v>130</v>
      </c>
      <c r="B55" t="str">
        <f>CONCATENATE(Raw_Employee_Data!B55," ",Raw_Employee_Data!C55)</f>
        <v>Thomas Rodriguez</v>
      </c>
      <c r="C55" t="str">
        <f>UPPER(TRIM(Raw_Employee_Data!D54:D211))</f>
        <v>FIN03</v>
      </c>
      <c r="D55" t="str">
        <f>VLOOKUP(C55,Lookup_Departments!$A$1:$B$7,2,)</f>
        <v>Finance</v>
      </c>
      <c r="E55" s="5">
        <v>43464</v>
      </c>
      <c r="F55" s="4">
        <f t="shared" ca="1" si="0"/>
        <v>7.5166666666666666</v>
      </c>
      <c r="G55" s="6">
        <v>80189</v>
      </c>
      <c r="H55">
        <v>30</v>
      </c>
      <c r="I55" t="str">
        <f>VLOOKUP(H55,Lookup_Performance!$A$1:$D$6,3)</f>
        <v>Needs Improvement</v>
      </c>
      <c r="J55" s="7">
        <f>VLOOKUP(H55,Lookup_Performance!$A$1:$D$6,4)</f>
        <v>0</v>
      </c>
      <c r="K55" t="str">
        <f>PROPER(TRIM(Raw_Employee_Data!H54:H211))</f>
        <v>Active</v>
      </c>
      <c r="L55" s="6">
        <f>Table1[[#This Row],[Salary]]*Table1[[#This Row],[Bonus_Percentage]]</f>
        <v>0</v>
      </c>
    </row>
    <row r="56" spans="1:12" x14ac:dyDescent="0.25">
      <c r="A56" t="s">
        <v>131</v>
      </c>
      <c r="B56" t="str">
        <f>CONCATENATE(Raw_Employee_Data!B56," ",Raw_Employee_Data!C56)</f>
        <v>Emily Johnson</v>
      </c>
      <c r="C56" t="str">
        <f>UPPER(TRIM(Raw_Employee_Data!D55:D212))</f>
        <v>SAL05</v>
      </c>
      <c r="D56" t="str">
        <f>VLOOKUP(C56,Lookup_Departments!$A$1:$B$7,2,)</f>
        <v>Sales</v>
      </c>
      <c r="E56" s="5">
        <v>44189</v>
      </c>
      <c r="F56" s="4">
        <f t="shared" ca="1" si="0"/>
        <v>5.5333333333333332</v>
      </c>
      <c r="G56" s="6">
        <v>118947</v>
      </c>
      <c r="H56">
        <v>96</v>
      </c>
      <c r="I56" t="str">
        <f>VLOOKUP(H56,Lookup_Performance!$A$1:$D$6,3)</f>
        <v>Outstanding</v>
      </c>
      <c r="J56" s="7">
        <f>VLOOKUP(H56,Lookup_Performance!$A$1:$D$6,4)</f>
        <v>0.12</v>
      </c>
      <c r="K56" t="str">
        <f>PROPER(TRIM(Raw_Employee_Data!H55:H212))</f>
        <v>Active</v>
      </c>
      <c r="L56" s="6">
        <f>Table1[[#This Row],[Salary]]*Table1[[#This Row],[Bonus_Percentage]]</f>
        <v>14273.64</v>
      </c>
    </row>
    <row r="57" spans="1:12" x14ac:dyDescent="0.25">
      <c r="A57" t="s">
        <v>133</v>
      </c>
      <c r="B57" t="str">
        <f>CONCATENATE(Raw_Employee_Data!B57," ",Raw_Employee_Data!C57)</f>
        <v>Emily Garcia</v>
      </c>
      <c r="C57" t="str">
        <f>UPPER(TRIM(Raw_Employee_Data!D56:D213))</f>
        <v>HR01</v>
      </c>
      <c r="D57" t="str">
        <f>VLOOKUP(C57,Lookup_Departments!$A$1:$B$7,2,)</f>
        <v>Human Resources</v>
      </c>
      <c r="E57" s="5">
        <v>45112</v>
      </c>
      <c r="F57" s="4">
        <f t="shared" ca="1" si="0"/>
        <v>3.0027777777777778</v>
      </c>
      <c r="G57" s="6">
        <v>83604</v>
      </c>
      <c r="H57">
        <v>54</v>
      </c>
      <c r="I57" t="str">
        <f>VLOOKUP(H57,Lookup_Performance!$A$1:$D$6,3)</f>
        <v>Developing</v>
      </c>
      <c r="J57" s="7">
        <f>VLOOKUP(H57,Lookup_Performance!$A$1:$D$6,4)</f>
        <v>0.02</v>
      </c>
      <c r="K57" t="str">
        <f>PROPER(TRIM(Raw_Employee_Data!H56:H213))</f>
        <v>Active</v>
      </c>
      <c r="L57" s="6">
        <f>Table1[[#This Row],[Salary]]*Table1[[#This Row],[Bonus_Percentage]]</f>
        <v>1672.08</v>
      </c>
    </row>
    <row r="58" spans="1:12" x14ac:dyDescent="0.25">
      <c r="A58" t="s">
        <v>135</v>
      </c>
      <c r="B58" t="str">
        <f>CONCATENATE(Raw_Employee_Data!B58," ",Raw_Employee_Data!C58)</f>
        <v>Jane Anderson</v>
      </c>
      <c r="C58" t="str">
        <f>UPPER(TRIM(Raw_Employee_Data!D57:D214))</f>
        <v>IT02</v>
      </c>
      <c r="D58" t="str">
        <f>VLOOKUP(C58,Lookup_Departments!$A$1:$B$7,2,)</f>
        <v>Information Technology</v>
      </c>
      <c r="E58" s="5">
        <v>44148</v>
      </c>
      <c r="F58" s="4">
        <f t="shared" ca="1" si="0"/>
        <v>5.6472222222222221</v>
      </c>
      <c r="G58" s="6">
        <v>83604</v>
      </c>
      <c r="H58">
        <v>75</v>
      </c>
      <c r="I58" t="str">
        <f>VLOOKUP(H58,Lookup_Performance!$A$1:$D$6,3)</f>
        <v>Achieving</v>
      </c>
      <c r="J58" s="7">
        <f>VLOOKUP(H58,Lookup_Performance!$A$1:$D$6,4)</f>
        <v>0.05</v>
      </c>
      <c r="K58" t="str">
        <f>PROPER(TRIM(Raw_Employee_Data!H57:H214))</f>
        <v>Active</v>
      </c>
      <c r="L58" s="6">
        <f>Table1[[#This Row],[Salary]]*Table1[[#This Row],[Bonus_Percentage]]</f>
        <v>4180.2</v>
      </c>
    </row>
    <row r="59" spans="1:12" x14ac:dyDescent="0.25">
      <c r="A59" t="s">
        <v>136</v>
      </c>
      <c r="B59" t="str">
        <f>CONCATENATE(Raw_Employee_Data!B59," ",Raw_Employee_Data!C59)</f>
        <v>Thomas Garcia</v>
      </c>
      <c r="C59" t="str">
        <f>UPPER(TRIM(Raw_Employee_Data!D58:D215))</f>
        <v>OPS06</v>
      </c>
      <c r="D59" t="str">
        <f>VLOOKUP(C59,Lookup_Departments!$A$1:$B$7,2,)</f>
        <v>Operations</v>
      </c>
      <c r="E59" s="5">
        <v>43283</v>
      </c>
      <c r="F59" s="4">
        <f t="shared" ca="1" si="0"/>
        <v>8.0111111111111111</v>
      </c>
      <c r="G59" s="6">
        <v>91655</v>
      </c>
      <c r="H59">
        <v>95</v>
      </c>
      <c r="I59" t="str">
        <f>VLOOKUP(H59,Lookup_Performance!$A$1:$D$6,3)</f>
        <v>Outstanding</v>
      </c>
      <c r="J59" s="7">
        <f>VLOOKUP(H59,Lookup_Performance!$A$1:$D$6,4)</f>
        <v>0.12</v>
      </c>
      <c r="K59" t="str">
        <f>PROPER(TRIM(Raw_Employee_Data!H58:H215))</f>
        <v>Active</v>
      </c>
      <c r="L59" s="6">
        <f>Table1[[#This Row],[Salary]]*Table1[[#This Row],[Bonus_Percentage]]</f>
        <v>10998.6</v>
      </c>
    </row>
    <row r="60" spans="1:12" x14ac:dyDescent="0.25">
      <c r="A60" t="s">
        <v>139</v>
      </c>
      <c r="B60" t="str">
        <f>CONCATENATE(Raw_Employee_Data!B60," ",Raw_Employee_Data!C60)</f>
        <v>David Martinez</v>
      </c>
      <c r="C60" t="str">
        <f>UPPER(TRIM(Raw_Employee_Data!D59:D216))</f>
        <v>HR01</v>
      </c>
      <c r="D60" t="str">
        <f>VLOOKUP(C60,Lookup_Departments!$A$1:$B$7,2,)</f>
        <v>Human Resources</v>
      </c>
      <c r="E60" s="5">
        <v>45255</v>
      </c>
      <c r="F60" s="4">
        <f t="shared" ca="1" si="0"/>
        <v>2.6138888888888889</v>
      </c>
      <c r="G60" s="6">
        <v>49435</v>
      </c>
      <c r="H60">
        <v>68</v>
      </c>
      <c r="I60" t="str">
        <f>VLOOKUP(H60,Lookup_Performance!$A$1:$D$6,3)</f>
        <v>Developing</v>
      </c>
      <c r="J60" s="7">
        <f>VLOOKUP(H60,Lookup_Performance!$A$1:$D$6,4)</f>
        <v>0.02</v>
      </c>
      <c r="K60" t="str">
        <f>PROPER(TRIM(Raw_Employee_Data!H59:H216))</f>
        <v>Active</v>
      </c>
      <c r="L60" s="6">
        <f>Table1[[#This Row],[Salary]]*Table1[[#This Row],[Bonus_Percentage]]</f>
        <v>988.7</v>
      </c>
    </row>
    <row r="61" spans="1:12" x14ac:dyDescent="0.25">
      <c r="A61" t="s">
        <v>140</v>
      </c>
      <c r="B61" t="str">
        <f>CONCATENATE(Raw_Employee_Data!B61," ",Raw_Employee_Data!C61)</f>
        <v>Emily Brown</v>
      </c>
      <c r="C61" t="str">
        <f>UPPER(TRIM(Raw_Employee_Data!D60:D217))</f>
        <v>IT02</v>
      </c>
      <c r="D61" t="str">
        <f>VLOOKUP(C61,Lookup_Departments!$A$1:$B$7,2,)</f>
        <v>Information Technology</v>
      </c>
      <c r="E61" s="5">
        <v>45217</v>
      </c>
      <c r="F61" s="4">
        <f t="shared" ca="1" si="0"/>
        <v>2.7166666666666668</v>
      </c>
      <c r="G61" s="6">
        <v>110381</v>
      </c>
      <c r="H61">
        <v>93</v>
      </c>
      <c r="I61" t="str">
        <f>VLOOKUP(H61,Lookup_Performance!$A$1:$D$6,3)</f>
        <v>Exceeding</v>
      </c>
      <c r="J61" s="7">
        <f>VLOOKUP(H61,Lookup_Performance!$A$1:$D$6,4)</f>
        <v>0.08</v>
      </c>
      <c r="K61" t="str">
        <f>PROPER(TRIM(Raw_Employee_Data!H60:H217))</f>
        <v>Left</v>
      </c>
      <c r="L61" s="6">
        <f>Table1[[#This Row],[Salary]]*Table1[[#This Row],[Bonus_Percentage]]</f>
        <v>8830.48</v>
      </c>
    </row>
    <row r="62" spans="1:12" x14ac:dyDescent="0.25">
      <c r="A62" t="s">
        <v>141</v>
      </c>
      <c r="B62" t="str">
        <f>CONCATENATE(Raw_Employee_Data!B62," ",Raw_Employee_Data!C62)</f>
        <v>Emily Wilson</v>
      </c>
      <c r="C62" t="str">
        <f>UPPER(TRIM(Raw_Employee_Data!D61:D218))</f>
        <v>SAL05</v>
      </c>
      <c r="D62" t="str">
        <f>VLOOKUP(C62,Lookup_Departments!$A$1:$B$7,2,)</f>
        <v>Sales</v>
      </c>
      <c r="E62" s="5">
        <v>44079</v>
      </c>
      <c r="F62" s="4">
        <f t="shared" ca="1" si="0"/>
        <v>5.8361111111111112</v>
      </c>
      <c r="G62" s="6">
        <v>114748</v>
      </c>
      <c r="H62">
        <v>33</v>
      </c>
      <c r="I62" t="str">
        <f>VLOOKUP(H62,Lookup_Performance!$A$1:$D$6,3)</f>
        <v>Needs Improvement</v>
      </c>
      <c r="J62" s="7">
        <f>VLOOKUP(H62,Lookup_Performance!$A$1:$D$6,4)</f>
        <v>0</v>
      </c>
      <c r="K62" t="str">
        <f>PROPER(TRIM(Raw_Employee_Data!H61:H218))</f>
        <v>Active</v>
      </c>
      <c r="L62" s="6">
        <f>Table1[[#This Row],[Salary]]*Table1[[#This Row],[Bonus_Percentage]]</f>
        <v>0</v>
      </c>
    </row>
    <row r="63" spans="1:12" x14ac:dyDescent="0.25">
      <c r="A63" t="s">
        <v>142</v>
      </c>
      <c r="B63" t="str">
        <f>CONCATENATE(Raw_Employee_Data!B63," ",Raw_Employee_Data!C63)</f>
        <v>Michael Anderson</v>
      </c>
      <c r="C63" t="str">
        <f>UPPER(TRIM(Raw_Employee_Data!D62:D219))</f>
        <v>HR01</v>
      </c>
      <c r="D63" t="str">
        <f>VLOOKUP(C63,Lookup_Departments!$A$1:$B$7,2,)</f>
        <v>Human Resources</v>
      </c>
      <c r="E63" s="5">
        <v>42800</v>
      </c>
      <c r="F63" s="4">
        <f t="shared" ca="1" si="0"/>
        <v>9.3333333333333339</v>
      </c>
      <c r="G63" s="6">
        <v>63302</v>
      </c>
      <c r="H63">
        <v>91</v>
      </c>
      <c r="I63" t="str">
        <f>VLOOKUP(H63,Lookup_Performance!$A$1:$D$6,3)</f>
        <v>Exceeding</v>
      </c>
      <c r="J63" s="7">
        <f>VLOOKUP(H63,Lookup_Performance!$A$1:$D$6,4)</f>
        <v>0.08</v>
      </c>
      <c r="K63" t="str">
        <f>PROPER(TRIM(Raw_Employee_Data!H62:H219))</f>
        <v>Active</v>
      </c>
      <c r="L63" s="6">
        <f>Table1[[#This Row],[Salary]]*Table1[[#This Row],[Bonus_Percentage]]</f>
        <v>5064.16</v>
      </c>
    </row>
    <row r="64" spans="1:12" x14ac:dyDescent="0.25">
      <c r="A64" t="s">
        <v>143</v>
      </c>
      <c r="B64" t="str">
        <f>CONCATENATE(Raw_Employee_Data!B64," ",Raw_Employee_Data!C64)</f>
        <v>Robert Johnson</v>
      </c>
      <c r="C64" t="str">
        <f>UPPER(TRIM(Raw_Employee_Data!D63:D220))</f>
        <v>OPS06</v>
      </c>
      <c r="D64" t="str">
        <f>VLOOKUP(C64,Lookup_Departments!$A$1:$B$7,2,)</f>
        <v>Operations</v>
      </c>
      <c r="E64" s="5">
        <v>42122</v>
      </c>
      <c r="F64" s="4">
        <f t="shared" ca="1" si="0"/>
        <v>11.188888888888888</v>
      </c>
      <c r="G64" s="6">
        <v>75519</v>
      </c>
      <c r="H64">
        <v>64</v>
      </c>
      <c r="I64" t="str">
        <f>VLOOKUP(H64,Lookup_Performance!$A$1:$D$6,3)</f>
        <v>Developing</v>
      </c>
      <c r="J64" s="7">
        <f>VLOOKUP(H64,Lookup_Performance!$A$1:$D$6,4)</f>
        <v>0.02</v>
      </c>
      <c r="K64" t="str">
        <f>PROPER(TRIM(Raw_Employee_Data!H63:H220))</f>
        <v>Active</v>
      </c>
      <c r="L64" s="6">
        <f>Table1[[#This Row],[Salary]]*Table1[[#This Row],[Bonus_Percentage]]</f>
        <v>1510.38</v>
      </c>
    </row>
    <row r="65" spans="1:12" x14ac:dyDescent="0.25">
      <c r="A65" t="s">
        <v>145</v>
      </c>
      <c r="B65" t="str">
        <f>CONCATENATE(Raw_Employee_Data!B65," ",Raw_Employee_Data!C65)</f>
        <v>Robert Miller</v>
      </c>
      <c r="C65" t="str">
        <f>UPPER(TRIM(Raw_Employee_Data!D64:D221))</f>
        <v>IT02</v>
      </c>
      <c r="D65" t="str">
        <f>VLOOKUP(C65,Lookup_Departments!$A$1:$B$7,2,)</f>
        <v>Information Technology</v>
      </c>
      <c r="E65" s="5">
        <v>42838</v>
      </c>
      <c r="F65" s="4">
        <f t="shared" ca="1" si="0"/>
        <v>9.2305555555555561</v>
      </c>
      <c r="G65" s="6">
        <v>103891</v>
      </c>
      <c r="H65">
        <v>80</v>
      </c>
      <c r="I65" t="str">
        <f>VLOOKUP(H65,Lookup_Performance!$A$1:$D$6,3)</f>
        <v>Achieving</v>
      </c>
      <c r="J65" s="7">
        <f>VLOOKUP(H65,Lookup_Performance!$A$1:$D$6,4)</f>
        <v>0.05</v>
      </c>
      <c r="K65" t="str">
        <f>PROPER(TRIM(Raw_Employee_Data!H64:H221))</f>
        <v>Active</v>
      </c>
      <c r="L65" s="6">
        <f>Table1[[#This Row],[Salary]]*Table1[[#This Row],[Bonus_Percentage]]</f>
        <v>5194.55</v>
      </c>
    </row>
    <row r="66" spans="1:12" x14ac:dyDescent="0.25">
      <c r="A66" t="s">
        <v>146</v>
      </c>
      <c r="B66" t="str">
        <f>CONCATENATE(Raw_Employee_Data!B66," ",Raw_Employee_Data!C66)</f>
        <v>Jane Davis</v>
      </c>
      <c r="C66" t="str">
        <f>UPPER(TRIM(Raw_Employee_Data!D65:D222))</f>
        <v>FIN03</v>
      </c>
      <c r="D66" t="str">
        <f>VLOOKUP(C66,Lookup_Departments!$A$1:$B$7,2,)</f>
        <v>Finance</v>
      </c>
      <c r="E66" s="5">
        <v>44827</v>
      </c>
      <c r="F66" s="4">
        <f t="shared" ca="1" si="0"/>
        <v>3.786111111111111</v>
      </c>
      <c r="G66" s="6">
        <v>83604</v>
      </c>
      <c r="H66">
        <v>46</v>
      </c>
      <c r="I66" t="str">
        <f>VLOOKUP(H66,Lookup_Performance!$A$1:$D$6,3)</f>
        <v>Needs Improvement</v>
      </c>
      <c r="J66" s="7">
        <f>VLOOKUP(H66,Lookup_Performance!$A$1:$D$6,4)</f>
        <v>0</v>
      </c>
      <c r="K66" t="str">
        <f>PROPER(TRIM(Raw_Employee_Data!H65:H222))</f>
        <v>Active</v>
      </c>
      <c r="L66" s="6">
        <f>Table1[[#This Row],[Salary]]*Table1[[#This Row],[Bonus_Percentage]]</f>
        <v>0</v>
      </c>
    </row>
    <row r="67" spans="1:12" x14ac:dyDescent="0.25">
      <c r="A67" t="s">
        <v>147</v>
      </c>
      <c r="B67" t="str">
        <f>CONCATENATE(Raw_Employee_Data!B67," ",Raw_Employee_Data!C67)</f>
        <v>Thomas Davis</v>
      </c>
      <c r="C67" t="str">
        <f>UPPER(TRIM(Raw_Employee_Data!D66:D223))</f>
        <v>OPS06</v>
      </c>
      <c r="D67" t="str">
        <f>VLOOKUP(C67,Lookup_Departments!$A$1:$B$7,2,)</f>
        <v>Operations</v>
      </c>
      <c r="E67" s="5">
        <v>42685</v>
      </c>
      <c r="F67" s="4">
        <f t="shared" ref="F67:F130" ca="1" si="1">YEARFRAC(E67,TODAY())</f>
        <v>9.6527777777777786</v>
      </c>
      <c r="G67" s="6">
        <v>50936</v>
      </c>
      <c r="H67">
        <v>99</v>
      </c>
      <c r="I67" t="str">
        <f>VLOOKUP(H67,Lookup_Performance!$A$1:$D$6,3)</f>
        <v>Outstanding</v>
      </c>
      <c r="J67" s="7">
        <f>VLOOKUP(H67,Lookup_Performance!$A$1:$D$6,4)</f>
        <v>0.12</v>
      </c>
      <c r="K67" t="str">
        <f>PROPER(TRIM(Raw_Employee_Data!H66:H223))</f>
        <v>Left</v>
      </c>
      <c r="L67" s="6">
        <f>Table1[[#This Row],[Salary]]*Table1[[#This Row],[Bonus_Percentage]]</f>
        <v>6112.32</v>
      </c>
    </row>
    <row r="68" spans="1:12" x14ac:dyDescent="0.25">
      <c r="A68" t="s">
        <v>150</v>
      </c>
      <c r="B68" t="str">
        <f>CONCATENATE(Raw_Employee_Data!B68," ",Raw_Employee_Data!C68)</f>
        <v>Thomas Jones</v>
      </c>
      <c r="C68" t="str">
        <f>UPPER(TRIM(Raw_Employee_Data!D67:D224))</f>
        <v>MKT04</v>
      </c>
      <c r="D68" t="str">
        <f>VLOOKUP(C68,Lookup_Departments!$A$1:$B$7,2,)</f>
        <v>Marketing</v>
      </c>
      <c r="E68" s="5">
        <v>42818</v>
      </c>
      <c r="F68" s="4">
        <f t="shared" ca="1" si="1"/>
        <v>9.2833333333333332</v>
      </c>
      <c r="G68" s="6">
        <v>111240</v>
      </c>
      <c r="H68">
        <v>68</v>
      </c>
      <c r="I68" t="str">
        <f>VLOOKUP(H68,Lookup_Performance!$A$1:$D$6,3)</f>
        <v>Developing</v>
      </c>
      <c r="J68" s="7">
        <f>VLOOKUP(H68,Lookup_Performance!$A$1:$D$6,4)</f>
        <v>0.02</v>
      </c>
      <c r="K68" t="str">
        <f>PROPER(TRIM(Raw_Employee_Data!H67:H224))</f>
        <v>Active</v>
      </c>
      <c r="L68" s="6">
        <f>Table1[[#This Row],[Salary]]*Table1[[#This Row],[Bonus_Percentage]]</f>
        <v>2224.8000000000002</v>
      </c>
    </row>
    <row r="69" spans="1:12" x14ac:dyDescent="0.25">
      <c r="A69" t="s">
        <v>153</v>
      </c>
      <c r="B69" t="str">
        <f>CONCATENATE(Raw_Employee_Data!B69," ",Raw_Employee_Data!C69)</f>
        <v>Michael Miller</v>
      </c>
      <c r="C69" t="str">
        <f>UPPER(TRIM(Raw_Employee_Data!D68:D225))</f>
        <v>SAL05</v>
      </c>
      <c r="D69" t="str">
        <f>VLOOKUP(C69,Lookup_Departments!$A$1:$B$7,2,)</f>
        <v>Sales</v>
      </c>
      <c r="E69" s="5">
        <v>43590</v>
      </c>
      <c r="F69" s="4">
        <f t="shared" ca="1" si="1"/>
        <v>7.1694444444444443</v>
      </c>
      <c r="G69" s="6">
        <v>51567</v>
      </c>
      <c r="H69">
        <v>87</v>
      </c>
      <c r="I69" t="str">
        <f>VLOOKUP(H69,Lookup_Performance!$A$1:$D$6,3)</f>
        <v>Exceeding</v>
      </c>
      <c r="J69" s="7">
        <f>VLOOKUP(H69,Lookup_Performance!$A$1:$D$6,4)</f>
        <v>0.08</v>
      </c>
      <c r="K69" t="str">
        <f>PROPER(TRIM(Raw_Employee_Data!H68:H225))</f>
        <v>Active</v>
      </c>
      <c r="L69" s="6">
        <f>Table1[[#This Row],[Salary]]*Table1[[#This Row],[Bonus_Percentage]]</f>
        <v>4125.3599999999997</v>
      </c>
    </row>
    <row r="70" spans="1:12" x14ac:dyDescent="0.25">
      <c r="A70" t="s">
        <v>155</v>
      </c>
      <c r="B70" t="str">
        <f>CONCATENATE(Raw_Employee_Data!B70," ",Raw_Employee_Data!C70)</f>
        <v>Richard Gonzalez</v>
      </c>
      <c r="C70" t="str">
        <f>UPPER(TRIM(Raw_Employee_Data!D69:D226))</f>
        <v>HR01</v>
      </c>
      <c r="D70" t="str">
        <f>VLOOKUP(C70,Lookup_Departments!$A$1:$B$7,2,)</f>
        <v>Human Resources</v>
      </c>
      <c r="E70" s="5">
        <v>44402</v>
      </c>
      <c r="F70" s="4">
        <f t="shared" ca="1" si="1"/>
        <v>4.947222222222222</v>
      </c>
      <c r="G70" s="6">
        <v>83604</v>
      </c>
      <c r="H70">
        <v>36</v>
      </c>
      <c r="I70" t="str">
        <f>VLOOKUP(H70,Lookup_Performance!$A$1:$D$6,3)</f>
        <v>Needs Improvement</v>
      </c>
      <c r="J70" s="7">
        <f>VLOOKUP(H70,Lookup_Performance!$A$1:$D$6,4)</f>
        <v>0</v>
      </c>
      <c r="K70" t="str">
        <f>PROPER(TRIM(Raw_Employee_Data!H69:H226))</f>
        <v>Resigned</v>
      </c>
      <c r="L70" s="6">
        <f>Table1[[#This Row],[Salary]]*Table1[[#This Row],[Bonus_Percentage]]</f>
        <v>0</v>
      </c>
    </row>
    <row r="71" spans="1:12" x14ac:dyDescent="0.25">
      <c r="A71" t="s">
        <v>157</v>
      </c>
      <c r="B71" t="str">
        <f>CONCATENATE(Raw_Employee_Data!B71," ",Raw_Employee_Data!C71)</f>
        <v>Melissa Williams</v>
      </c>
      <c r="C71" t="str">
        <f>UPPER(TRIM(Raw_Employee_Data!D70:D227))</f>
        <v>HR01</v>
      </c>
      <c r="D71" t="str">
        <f>VLOOKUP(C71,Lookup_Departments!$A$1:$B$7,2,)</f>
        <v>Human Resources</v>
      </c>
      <c r="E71" s="5">
        <v>43008</v>
      </c>
      <c r="F71" s="4">
        <f t="shared" ca="1" si="1"/>
        <v>8.7666666666666675</v>
      </c>
      <c r="G71" s="6">
        <v>55270</v>
      </c>
      <c r="H71">
        <v>87</v>
      </c>
      <c r="I71" t="str">
        <f>VLOOKUP(H71,Lookup_Performance!$A$1:$D$6,3)</f>
        <v>Exceeding</v>
      </c>
      <c r="J71" s="7">
        <f>VLOOKUP(H71,Lookup_Performance!$A$1:$D$6,4)</f>
        <v>0.08</v>
      </c>
      <c r="K71" t="str">
        <f>PROPER(TRIM(Raw_Employee_Data!H70:H227))</f>
        <v>Active</v>
      </c>
      <c r="L71" s="6">
        <f>Table1[[#This Row],[Salary]]*Table1[[#This Row],[Bonus_Percentage]]</f>
        <v>4421.6000000000004</v>
      </c>
    </row>
    <row r="72" spans="1:12" x14ac:dyDescent="0.25">
      <c r="A72" t="s">
        <v>158</v>
      </c>
      <c r="B72" t="str">
        <f>CONCATENATE(Raw_Employee_Data!B72," ",Raw_Employee_Data!C72)</f>
        <v>Robert Miller</v>
      </c>
      <c r="C72" t="str">
        <f>UPPER(TRIM(Raw_Employee_Data!D71:D228))</f>
        <v>HR01</v>
      </c>
      <c r="D72" t="str">
        <f>VLOOKUP(C72,Lookup_Departments!$A$1:$B$7,2,)</f>
        <v>Human Resources</v>
      </c>
      <c r="E72" s="5">
        <v>42192</v>
      </c>
      <c r="F72" s="4">
        <f t="shared" ca="1" si="1"/>
        <v>10.997222222222222</v>
      </c>
      <c r="G72" s="6">
        <v>65235</v>
      </c>
      <c r="H72">
        <v>97</v>
      </c>
      <c r="I72" t="str">
        <f>VLOOKUP(H72,Lookup_Performance!$A$1:$D$6,3)</f>
        <v>Outstanding</v>
      </c>
      <c r="J72" s="7">
        <f>VLOOKUP(H72,Lookup_Performance!$A$1:$D$6,4)</f>
        <v>0.12</v>
      </c>
      <c r="K72" t="str">
        <f>PROPER(TRIM(Raw_Employee_Data!H71:H228))</f>
        <v>Active</v>
      </c>
      <c r="L72" s="6">
        <f>Table1[[#This Row],[Salary]]*Table1[[#This Row],[Bonus_Percentage]]</f>
        <v>7828.2</v>
      </c>
    </row>
    <row r="73" spans="1:12" x14ac:dyDescent="0.25">
      <c r="A73" t="s">
        <v>160</v>
      </c>
      <c r="B73" t="str">
        <f>CONCATENATE(Raw_Employee_Data!B73," ",Raw_Employee_Data!C73)</f>
        <v>William Garcia</v>
      </c>
      <c r="C73" t="str">
        <f>UPPER(TRIM(Raw_Employee_Data!D72:D229))</f>
        <v>SAL05</v>
      </c>
      <c r="D73" t="str">
        <f>VLOOKUP(C73,Lookup_Departments!$A$1:$B$7,2,)</f>
        <v>Sales</v>
      </c>
      <c r="E73" s="5">
        <v>43283</v>
      </c>
      <c r="F73" s="4">
        <f t="shared" ca="1" si="1"/>
        <v>8.0111111111111111</v>
      </c>
      <c r="G73" s="6">
        <v>83604</v>
      </c>
      <c r="H73">
        <v>72</v>
      </c>
      <c r="I73" t="str">
        <f>VLOOKUP(H73,Lookup_Performance!$A$1:$D$6,3)</f>
        <v>Achieving</v>
      </c>
      <c r="J73" s="7">
        <f>VLOOKUP(H73,Lookup_Performance!$A$1:$D$6,4)</f>
        <v>0.05</v>
      </c>
      <c r="K73" t="str">
        <f>PROPER(TRIM(Raw_Employee_Data!H72:H229))</f>
        <v>Active</v>
      </c>
      <c r="L73" s="6">
        <f>Table1[[#This Row],[Salary]]*Table1[[#This Row],[Bonus_Percentage]]</f>
        <v>4180.2</v>
      </c>
    </row>
    <row r="74" spans="1:12" x14ac:dyDescent="0.25">
      <c r="A74" t="s">
        <v>161</v>
      </c>
      <c r="B74" t="str">
        <f>CONCATENATE(Raw_Employee_Data!B74," ",Raw_Employee_Data!C74)</f>
        <v>John Gonzalez</v>
      </c>
      <c r="C74" t="str">
        <f>UPPER(TRIM(Raw_Employee_Data!D73:D230))</f>
        <v>SAL05</v>
      </c>
      <c r="D74" t="str">
        <f>VLOOKUP(C74,Lookup_Departments!$A$1:$B$7,2,)</f>
        <v>Sales</v>
      </c>
      <c r="E74" s="5">
        <v>44819</v>
      </c>
      <c r="F74" s="4">
        <f t="shared" ca="1" si="1"/>
        <v>3.8083333333333331</v>
      </c>
      <c r="G74" s="6">
        <v>83604</v>
      </c>
      <c r="H74">
        <v>65</v>
      </c>
      <c r="I74" t="str">
        <f>VLOOKUP(H74,Lookup_Performance!$A$1:$D$6,3)</f>
        <v>Developing</v>
      </c>
      <c r="J74" s="7">
        <f>VLOOKUP(H74,Lookup_Performance!$A$1:$D$6,4)</f>
        <v>0.02</v>
      </c>
      <c r="K74" t="str">
        <f>PROPER(TRIM(Raw_Employee_Data!H73:H230))</f>
        <v>Left</v>
      </c>
      <c r="L74" s="6">
        <f>Table1[[#This Row],[Salary]]*Table1[[#This Row],[Bonus_Percentage]]</f>
        <v>1672.08</v>
      </c>
    </row>
    <row r="75" spans="1:12" x14ac:dyDescent="0.25">
      <c r="A75" t="s">
        <v>162</v>
      </c>
      <c r="B75" t="str">
        <f>CONCATENATE(Raw_Employee_Data!B75," ",Raw_Employee_Data!C75)</f>
        <v>James Gonzalez</v>
      </c>
      <c r="C75" t="str">
        <f>UPPER(TRIM(Raw_Employee_Data!D74:D231))</f>
        <v>SAL05</v>
      </c>
      <c r="D75" t="str">
        <f>VLOOKUP(C75,Lookup_Departments!$A$1:$B$7,2,)</f>
        <v>Sales</v>
      </c>
      <c r="E75" s="5">
        <v>42249</v>
      </c>
      <c r="F75" s="4">
        <f t="shared" ca="1" si="1"/>
        <v>10.844444444444445</v>
      </c>
      <c r="G75" s="6">
        <v>83604</v>
      </c>
      <c r="H75">
        <v>67</v>
      </c>
      <c r="I75" t="str">
        <f>VLOOKUP(H75,Lookup_Performance!$A$1:$D$6,3)</f>
        <v>Developing</v>
      </c>
      <c r="J75" s="7">
        <f>VLOOKUP(H75,Lookup_Performance!$A$1:$D$6,4)</f>
        <v>0.02</v>
      </c>
      <c r="K75" t="str">
        <f>PROPER(TRIM(Raw_Employee_Data!H74:H231))</f>
        <v>Left</v>
      </c>
      <c r="L75" s="6">
        <f>Table1[[#This Row],[Salary]]*Table1[[#This Row],[Bonus_Percentage]]</f>
        <v>1672.08</v>
      </c>
    </row>
    <row r="76" spans="1:12" x14ac:dyDescent="0.25">
      <c r="A76" t="s">
        <v>163</v>
      </c>
      <c r="B76" t="str">
        <f>CONCATENATE(Raw_Employee_Data!B76," ",Raw_Employee_Data!C76)</f>
        <v>Robert Johnson</v>
      </c>
      <c r="C76" t="str">
        <f>UPPER(TRIM(Raw_Employee_Data!D75:D232))</f>
        <v>OPS06</v>
      </c>
      <c r="D76" t="str">
        <f>VLOOKUP(C76,Lookup_Departments!$A$1:$B$7,2,)</f>
        <v>Operations</v>
      </c>
      <c r="E76" s="5">
        <v>42654</v>
      </c>
      <c r="F76" s="4">
        <f t="shared" ca="1" si="1"/>
        <v>9.7361111111111107</v>
      </c>
      <c r="G76" s="6">
        <v>48823</v>
      </c>
      <c r="H76">
        <v>34</v>
      </c>
      <c r="I76" t="str">
        <f>VLOOKUP(H76,Lookup_Performance!$A$1:$D$6,3)</f>
        <v>Needs Improvement</v>
      </c>
      <c r="J76" s="7">
        <f>VLOOKUP(H76,Lookup_Performance!$A$1:$D$6,4)</f>
        <v>0</v>
      </c>
      <c r="K76" t="str">
        <f>PROPER(TRIM(Raw_Employee_Data!H75:H232))</f>
        <v>Active</v>
      </c>
      <c r="L76" s="6">
        <f>Table1[[#This Row],[Salary]]*Table1[[#This Row],[Bonus_Percentage]]</f>
        <v>0</v>
      </c>
    </row>
    <row r="77" spans="1:12" x14ac:dyDescent="0.25">
      <c r="A77" t="s">
        <v>166</v>
      </c>
      <c r="B77" t="str">
        <f>CONCATENATE(Raw_Employee_Data!B77," ",Raw_Employee_Data!C77)</f>
        <v>Jane Gonzalez</v>
      </c>
      <c r="C77" t="str">
        <f>UPPER(TRIM(Raw_Employee_Data!D76:D233))</f>
        <v>SAL05</v>
      </c>
      <c r="D77" t="str">
        <f>VLOOKUP(C77,Lookup_Departments!$A$1:$B$7,2,)</f>
        <v>Sales</v>
      </c>
      <c r="E77" s="5">
        <v>43575</v>
      </c>
      <c r="F77" s="4">
        <f t="shared" ca="1" si="1"/>
        <v>7.2111111111111112</v>
      </c>
      <c r="G77" s="6">
        <v>45196</v>
      </c>
      <c r="H77">
        <v>78</v>
      </c>
      <c r="I77" t="str">
        <f>VLOOKUP(H77,Lookup_Performance!$A$1:$D$6,3)</f>
        <v>Achieving</v>
      </c>
      <c r="J77" s="7">
        <f>VLOOKUP(H77,Lookup_Performance!$A$1:$D$6,4)</f>
        <v>0.05</v>
      </c>
      <c r="K77" t="str">
        <f>PROPER(TRIM(Raw_Employee_Data!H76:H233))</f>
        <v>Active</v>
      </c>
      <c r="L77" s="6">
        <f>Table1[[#This Row],[Salary]]*Table1[[#This Row],[Bonus_Percentage]]</f>
        <v>2259.8000000000002</v>
      </c>
    </row>
    <row r="78" spans="1:12" x14ac:dyDescent="0.25">
      <c r="A78" t="s">
        <v>167</v>
      </c>
      <c r="B78" t="str">
        <f>CONCATENATE(Raw_Employee_Data!B78," ",Raw_Employee_Data!C78)</f>
        <v>David Wilson</v>
      </c>
      <c r="C78" t="str">
        <f>UPPER(TRIM(Raw_Employee_Data!D77:D234))</f>
        <v>OPS06</v>
      </c>
      <c r="D78" t="str">
        <f>VLOOKUP(C78,Lookup_Departments!$A$1:$B$7,2,)</f>
        <v>Operations</v>
      </c>
      <c r="E78" s="5">
        <v>42785</v>
      </c>
      <c r="F78" s="4">
        <f t="shared" ca="1" si="1"/>
        <v>9.3805555555555564</v>
      </c>
      <c r="G78" s="6">
        <v>86246</v>
      </c>
      <c r="H78">
        <v>61</v>
      </c>
      <c r="I78" t="str">
        <f>VLOOKUP(H78,Lookup_Performance!$A$1:$D$6,3)</f>
        <v>Developing</v>
      </c>
      <c r="J78" s="7">
        <f>VLOOKUP(H78,Lookup_Performance!$A$1:$D$6,4)</f>
        <v>0.02</v>
      </c>
      <c r="K78" t="str">
        <f>PROPER(TRIM(Raw_Employee_Data!H77:H234))</f>
        <v>Active</v>
      </c>
      <c r="L78" s="6">
        <f>Table1[[#This Row],[Salary]]*Table1[[#This Row],[Bonus_Percentage]]</f>
        <v>1724.92</v>
      </c>
    </row>
    <row r="79" spans="1:12" x14ac:dyDescent="0.25">
      <c r="A79" t="s">
        <v>170</v>
      </c>
      <c r="B79" t="str">
        <f>CONCATENATE(Raw_Employee_Data!B79," ",Raw_Employee_Data!C79)</f>
        <v>Jane Gonzalez</v>
      </c>
      <c r="C79" t="str">
        <f>UPPER(TRIM(Raw_Employee_Data!D78:D235))</f>
        <v>FIN03</v>
      </c>
      <c r="D79" t="str">
        <f>VLOOKUP(C79,Lookup_Departments!$A$1:$B$7,2,)</f>
        <v>Finance</v>
      </c>
      <c r="E79" s="5">
        <v>44386</v>
      </c>
      <c r="F79" s="4">
        <f t="shared" ca="1" si="1"/>
        <v>4.9916666666666663</v>
      </c>
      <c r="G79" s="6">
        <v>70359</v>
      </c>
      <c r="H79">
        <v>74</v>
      </c>
      <c r="I79" t="str">
        <f>VLOOKUP(H79,Lookup_Performance!$A$1:$D$6,3)</f>
        <v>Achieving</v>
      </c>
      <c r="J79" s="7">
        <f>VLOOKUP(H79,Lookup_Performance!$A$1:$D$6,4)</f>
        <v>0.05</v>
      </c>
      <c r="K79" t="str">
        <f>PROPER(TRIM(Raw_Employee_Data!H78:H235))</f>
        <v>Left</v>
      </c>
      <c r="L79" s="6">
        <f>Table1[[#This Row],[Salary]]*Table1[[#This Row],[Bonus_Percentage]]</f>
        <v>3517.9500000000003</v>
      </c>
    </row>
    <row r="80" spans="1:12" x14ac:dyDescent="0.25">
      <c r="A80" t="s">
        <v>172</v>
      </c>
      <c r="B80" t="str">
        <f>CONCATENATE(Raw_Employee_Data!B80," ",Raw_Employee_Data!C80)</f>
        <v>Jane Rodriguez</v>
      </c>
      <c r="C80" t="str">
        <f>UPPER(TRIM(Raw_Employee_Data!D79:D236))</f>
        <v>IT02</v>
      </c>
      <c r="D80" t="str">
        <f>VLOOKUP(C80,Lookup_Departments!$A$1:$B$7,2,)</f>
        <v>Information Technology</v>
      </c>
      <c r="E80" s="5">
        <v>43599</v>
      </c>
      <c r="F80" s="4">
        <f t="shared" ca="1" si="1"/>
        <v>7.1444444444444448</v>
      </c>
      <c r="G80" s="6">
        <v>83604</v>
      </c>
      <c r="H80">
        <v>94</v>
      </c>
      <c r="I80" t="str">
        <f>VLOOKUP(H80,Lookup_Performance!$A$1:$D$6,3)</f>
        <v>Exceeding</v>
      </c>
      <c r="J80" s="7">
        <f>VLOOKUP(H80,Lookup_Performance!$A$1:$D$6,4)</f>
        <v>0.08</v>
      </c>
      <c r="K80" t="str">
        <f>PROPER(TRIM(Raw_Employee_Data!H79:H236))</f>
        <v>Active</v>
      </c>
      <c r="L80" s="6">
        <f>Table1[[#This Row],[Salary]]*Table1[[#This Row],[Bonus_Percentage]]</f>
        <v>6688.32</v>
      </c>
    </row>
    <row r="81" spans="1:12" x14ac:dyDescent="0.25">
      <c r="A81" t="s">
        <v>173</v>
      </c>
      <c r="B81" t="str">
        <f>CONCATENATE(Raw_Employee_Data!B81," ",Raw_Employee_Data!C81)</f>
        <v>Emily Miller</v>
      </c>
      <c r="C81" t="str">
        <f>UPPER(TRIM(Raw_Employee_Data!D80:D237))</f>
        <v>SAL05</v>
      </c>
      <c r="D81" t="str">
        <f>VLOOKUP(C81,Lookup_Departments!$A$1:$B$7,2,)</f>
        <v>Sales</v>
      </c>
      <c r="E81" s="5">
        <v>42330</v>
      </c>
      <c r="F81" s="4">
        <f t="shared" ca="1" si="1"/>
        <v>10.622222222222222</v>
      </c>
      <c r="G81" s="6">
        <v>86480</v>
      </c>
      <c r="H81">
        <v>68</v>
      </c>
      <c r="I81" t="str">
        <f>VLOOKUP(H81,Lookup_Performance!$A$1:$D$6,3)</f>
        <v>Developing</v>
      </c>
      <c r="J81" s="7">
        <f>VLOOKUP(H81,Lookup_Performance!$A$1:$D$6,4)</f>
        <v>0.02</v>
      </c>
      <c r="K81" t="str">
        <f>PROPER(TRIM(Raw_Employee_Data!H80:H237))</f>
        <v>Left</v>
      </c>
      <c r="L81" s="6">
        <f>Table1[[#This Row],[Salary]]*Table1[[#This Row],[Bonus_Percentage]]</f>
        <v>1729.6000000000001</v>
      </c>
    </row>
    <row r="82" spans="1:12" x14ac:dyDescent="0.25">
      <c r="A82" t="s">
        <v>174</v>
      </c>
      <c r="B82" t="str">
        <f>CONCATENATE(Raw_Employee_Data!B82," ",Raw_Employee_Data!C82)</f>
        <v>Sarah Miller</v>
      </c>
      <c r="C82" t="str">
        <f>UPPER(TRIM(Raw_Employee_Data!D81:D238))</f>
        <v>MKT04</v>
      </c>
      <c r="D82" t="str">
        <f>VLOOKUP(C82,Lookup_Departments!$A$1:$B$7,2,)</f>
        <v>Marketing</v>
      </c>
      <c r="E82" s="5">
        <v>43372</v>
      </c>
      <c r="F82" s="4">
        <f t="shared" ca="1" si="1"/>
        <v>7.7694444444444448</v>
      </c>
      <c r="G82" s="6">
        <v>47694</v>
      </c>
      <c r="H82">
        <v>75</v>
      </c>
      <c r="I82" t="str">
        <f>VLOOKUP(H82,Lookup_Performance!$A$1:$D$6,3)</f>
        <v>Achieving</v>
      </c>
      <c r="J82" s="7">
        <f>VLOOKUP(H82,Lookup_Performance!$A$1:$D$6,4)</f>
        <v>0.05</v>
      </c>
      <c r="K82" t="str">
        <f>PROPER(TRIM(Raw_Employee_Data!H81:H238))</f>
        <v>Active</v>
      </c>
      <c r="L82" s="6">
        <f>Table1[[#This Row],[Salary]]*Table1[[#This Row],[Bonus_Percentage]]</f>
        <v>2384.7000000000003</v>
      </c>
    </row>
    <row r="83" spans="1:12" x14ac:dyDescent="0.25">
      <c r="A83" t="s">
        <v>177</v>
      </c>
      <c r="B83" t="str">
        <f>CONCATENATE(Raw_Employee_Data!B83," ",Raw_Employee_Data!C83)</f>
        <v>Thomas Hernandez</v>
      </c>
      <c r="C83" t="str">
        <f>UPPER(TRIM(Raw_Employee_Data!D82:D239))</f>
        <v>OPS06</v>
      </c>
      <c r="D83" t="str">
        <f>VLOOKUP(C83,Lookup_Departments!$A$1:$B$7,2,)</f>
        <v>Operations</v>
      </c>
      <c r="E83" s="5">
        <v>45171</v>
      </c>
      <c r="F83" s="4">
        <f t="shared" ca="1" si="1"/>
        <v>2.8444444444444446</v>
      </c>
      <c r="G83" s="6">
        <v>83724</v>
      </c>
      <c r="H83">
        <v>81</v>
      </c>
      <c r="I83" t="str">
        <f>VLOOKUP(H83,Lookup_Performance!$A$1:$D$6,3)</f>
        <v>Achieving</v>
      </c>
      <c r="J83" s="7">
        <f>VLOOKUP(H83,Lookup_Performance!$A$1:$D$6,4)</f>
        <v>0.05</v>
      </c>
      <c r="K83" t="str">
        <f>PROPER(TRIM(Raw_Employee_Data!H82:H239))</f>
        <v>Active</v>
      </c>
      <c r="L83" s="6">
        <f>Table1[[#This Row],[Salary]]*Table1[[#This Row],[Bonus_Percentage]]</f>
        <v>4186.2</v>
      </c>
    </row>
    <row r="84" spans="1:12" x14ac:dyDescent="0.25">
      <c r="A84" t="s">
        <v>178</v>
      </c>
      <c r="B84" t="str">
        <f>CONCATENATE(Raw_Employee_Data!B84," ",Raw_Employee_Data!C84)</f>
        <v>Jessica Garcia</v>
      </c>
      <c r="C84" t="str">
        <f>UPPER(TRIM(Raw_Employee_Data!D83:D240))</f>
        <v>OPS06</v>
      </c>
      <c r="D84" t="str">
        <f>VLOOKUP(C84,Lookup_Departments!$A$1:$B$7,2,)</f>
        <v>Operations</v>
      </c>
      <c r="E84" s="5">
        <v>44759</v>
      </c>
      <c r="F84" s="4">
        <f t="shared" ca="1" si="1"/>
        <v>3.9694444444444446</v>
      </c>
      <c r="G84" s="6">
        <v>98299</v>
      </c>
      <c r="H84">
        <v>61</v>
      </c>
      <c r="I84" t="str">
        <f>VLOOKUP(H84,Lookup_Performance!$A$1:$D$6,3)</f>
        <v>Developing</v>
      </c>
      <c r="J84" s="7">
        <f>VLOOKUP(H84,Lookup_Performance!$A$1:$D$6,4)</f>
        <v>0.02</v>
      </c>
      <c r="K84" t="str">
        <f>PROPER(TRIM(Raw_Employee_Data!H83:H240))</f>
        <v>Active</v>
      </c>
      <c r="L84" s="6">
        <f>Table1[[#This Row],[Salary]]*Table1[[#This Row],[Bonus_Percentage]]</f>
        <v>1965.98</v>
      </c>
    </row>
    <row r="85" spans="1:12" x14ac:dyDescent="0.25">
      <c r="A85" t="s">
        <v>179</v>
      </c>
      <c r="B85" t="str">
        <f>CONCATENATE(Raw_Employee_Data!B85," ",Raw_Employee_Data!C85)</f>
        <v>Richard Smith</v>
      </c>
      <c r="C85" t="str">
        <f>UPPER(TRIM(Raw_Employee_Data!D84:D241))</f>
        <v>HR01</v>
      </c>
      <c r="D85" t="str">
        <f>VLOOKUP(C85,Lookup_Departments!$A$1:$B$7,2,)</f>
        <v>Human Resources</v>
      </c>
      <c r="E85" s="5">
        <v>44234</v>
      </c>
      <c r="F85" s="4">
        <f t="shared" ca="1" si="1"/>
        <v>5.4138888888888888</v>
      </c>
      <c r="G85" s="6">
        <v>83604</v>
      </c>
      <c r="H85">
        <v>68</v>
      </c>
      <c r="I85" t="str">
        <f>VLOOKUP(H85,Lookup_Performance!$A$1:$D$6,3)</f>
        <v>Developing</v>
      </c>
      <c r="J85" s="7">
        <f>VLOOKUP(H85,Lookup_Performance!$A$1:$D$6,4)</f>
        <v>0.02</v>
      </c>
      <c r="K85" t="str">
        <f>PROPER(TRIM(Raw_Employee_Data!H84:H241))</f>
        <v>Active</v>
      </c>
      <c r="L85" s="6">
        <f>Table1[[#This Row],[Salary]]*Table1[[#This Row],[Bonus_Percentage]]</f>
        <v>1672.08</v>
      </c>
    </row>
    <row r="86" spans="1:12" x14ac:dyDescent="0.25">
      <c r="A86" t="s">
        <v>181</v>
      </c>
      <c r="B86" t="str">
        <f>CONCATENATE(Raw_Employee_Data!B86," ",Raw_Employee_Data!C86)</f>
        <v>Melissa Wilson</v>
      </c>
      <c r="C86" t="str">
        <f>UPPER(TRIM(Raw_Employee_Data!D85:D242))</f>
        <v>IT02</v>
      </c>
      <c r="D86" t="str">
        <f>VLOOKUP(C86,Lookup_Departments!$A$1:$B$7,2,)</f>
        <v>Information Technology</v>
      </c>
      <c r="E86" s="5">
        <v>45026</v>
      </c>
      <c r="F86" s="4">
        <f t="shared" ca="1" si="1"/>
        <v>3.2388888888888889</v>
      </c>
      <c r="G86" s="6">
        <v>52287</v>
      </c>
      <c r="H86">
        <v>70</v>
      </c>
      <c r="I86" t="str">
        <f>VLOOKUP(H86,Lookup_Performance!$A$1:$D$6,3)</f>
        <v>Achieving</v>
      </c>
      <c r="J86" s="7">
        <f>VLOOKUP(H86,Lookup_Performance!$A$1:$D$6,4)</f>
        <v>0.05</v>
      </c>
      <c r="K86" t="str">
        <f>PROPER(TRIM(Raw_Employee_Data!H85:H242))</f>
        <v>Resigned</v>
      </c>
      <c r="L86" s="6">
        <f>Table1[[#This Row],[Salary]]*Table1[[#This Row],[Bonus_Percentage]]</f>
        <v>2614.3500000000004</v>
      </c>
    </row>
    <row r="87" spans="1:12" x14ac:dyDescent="0.25">
      <c r="A87" t="s">
        <v>183</v>
      </c>
      <c r="B87" t="str">
        <f>CONCATENATE(Raw_Employee_Data!B87," ",Raw_Employee_Data!C87)</f>
        <v>Thomas Williams</v>
      </c>
      <c r="C87" t="str">
        <f>UPPER(TRIM(Raw_Employee_Data!D86:D243))</f>
        <v>FIN03</v>
      </c>
      <c r="D87" t="str">
        <f>VLOOKUP(C87,Lookup_Departments!$A$1:$B$7,2,)</f>
        <v>Finance</v>
      </c>
      <c r="E87" s="5">
        <v>44073</v>
      </c>
      <c r="F87" s="4">
        <f t="shared" ca="1" si="1"/>
        <v>5.85</v>
      </c>
      <c r="G87" s="6">
        <v>82633</v>
      </c>
      <c r="H87">
        <v>98</v>
      </c>
      <c r="I87" t="str">
        <f>VLOOKUP(H87,Lookup_Performance!$A$1:$D$6,3)</f>
        <v>Outstanding</v>
      </c>
      <c r="J87" s="7">
        <f>VLOOKUP(H87,Lookup_Performance!$A$1:$D$6,4)</f>
        <v>0.12</v>
      </c>
      <c r="K87" t="str">
        <f>PROPER(TRIM(Raw_Employee_Data!H86:H243))</f>
        <v>Active</v>
      </c>
      <c r="L87" s="6">
        <f>Table1[[#This Row],[Salary]]*Table1[[#This Row],[Bonus_Percentage]]</f>
        <v>9915.9599999999991</v>
      </c>
    </row>
    <row r="88" spans="1:12" x14ac:dyDescent="0.25">
      <c r="A88" t="s">
        <v>184</v>
      </c>
      <c r="B88" t="str">
        <f>CONCATENATE(Raw_Employee_Data!B88," ",Raw_Employee_Data!C88)</f>
        <v>David Williams</v>
      </c>
      <c r="C88" t="str">
        <f>UPPER(TRIM(Raw_Employee_Data!D87:D244))</f>
        <v>FIN03</v>
      </c>
      <c r="D88" t="str">
        <f>VLOOKUP(C88,Lookup_Departments!$A$1:$B$7,2,)</f>
        <v>Finance</v>
      </c>
      <c r="E88" s="5">
        <v>44422</v>
      </c>
      <c r="F88" s="4">
        <f t="shared" ca="1" si="1"/>
        <v>4.8944444444444448</v>
      </c>
      <c r="G88" s="6">
        <v>46508</v>
      </c>
      <c r="H88">
        <v>34</v>
      </c>
      <c r="I88" t="str">
        <f>VLOOKUP(H88,Lookup_Performance!$A$1:$D$6,3)</f>
        <v>Needs Improvement</v>
      </c>
      <c r="J88" s="7">
        <f>VLOOKUP(H88,Lookup_Performance!$A$1:$D$6,4)</f>
        <v>0</v>
      </c>
      <c r="K88" t="str">
        <f>PROPER(TRIM(Raw_Employee_Data!H87:H244))</f>
        <v>Active</v>
      </c>
      <c r="L88" s="6">
        <f>Table1[[#This Row],[Salary]]*Table1[[#This Row],[Bonus_Percentage]]</f>
        <v>0</v>
      </c>
    </row>
    <row r="89" spans="1:12" x14ac:dyDescent="0.25">
      <c r="A89" t="s">
        <v>185</v>
      </c>
      <c r="B89" t="str">
        <f>CONCATENATE(Raw_Employee_Data!B89," ",Raw_Employee_Data!C89)</f>
        <v>John Johnson</v>
      </c>
      <c r="C89" t="str">
        <f>UPPER(TRIM(Raw_Employee_Data!D88:D245))</f>
        <v>IT02</v>
      </c>
      <c r="D89" t="str">
        <f>VLOOKUP(C89,Lookup_Departments!$A$1:$B$7,2,)</f>
        <v>Information Technology</v>
      </c>
      <c r="E89" s="5">
        <v>43796</v>
      </c>
      <c r="F89" s="4">
        <f t="shared" ca="1" si="1"/>
        <v>6.6083333333333334</v>
      </c>
      <c r="G89" s="6">
        <v>86232</v>
      </c>
      <c r="H89">
        <v>93</v>
      </c>
      <c r="I89" t="str">
        <f>VLOOKUP(H89,Lookup_Performance!$A$1:$D$6,3)</f>
        <v>Exceeding</v>
      </c>
      <c r="J89" s="7">
        <f>VLOOKUP(H89,Lookup_Performance!$A$1:$D$6,4)</f>
        <v>0.08</v>
      </c>
      <c r="K89" t="str">
        <f>PROPER(TRIM(Raw_Employee_Data!H88:H245))</f>
        <v>Active</v>
      </c>
      <c r="L89" s="6">
        <f>Table1[[#This Row],[Salary]]*Table1[[#This Row],[Bonus_Percentage]]</f>
        <v>6898.56</v>
      </c>
    </row>
    <row r="90" spans="1:12" x14ac:dyDescent="0.25">
      <c r="A90" t="s">
        <v>187</v>
      </c>
      <c r="B90" t="str">
        <f>CONCATENATE(Raw_Employee_Data!B90," ",Raw_Employee_Data!C90)</f>
        <v>Richard Gonzalez</v>
      </c>
      <c r="C90" t="str">
        <f>UPPER(TRIM(Raw_Employee_Data!D89:D246))</f>
        <v>IT02</v>
      </c>
      <c r="D90" t="str">
        <f>VLOOKUP(C90,Lookup_Departments!$A$1:$B$7,2,)</f>
        <v>Information Technology</v>
      </c>
      <c r="E90" s="5">
        <v>42880</v>
      </c>
      <c r="F90" s="4">
        <f t="shared" ca="1" si="1"/>
        <v>9.1138888888888889</v>
      </c>
      <c r="G90" s="6">
        <v>77545</v>
      </c>
      <c r="H90">
        <v>48</v>
      </c>
      <c r="I90" t="str">
        <f>VLOOKUP(H90,Lookup_Performance!$A$1:$D$6,3)</f>
        <v>Needs Improvement</v>
      </c>
      <c r="J90" s="7">
        <f>VLOOKUP(H90,Lookup_Performance!$A$1:$D$6,4)</f>
        <v>0</v>
      </c>
      <c r="K90" t="str">
        <f>PROPER(TRIM(Raw_Employee_Data!H89:H246))</f>
        <v>Active</v>
      </c>
      <c r="L90" s="6">
        <f>Table1[[#This Row],[Salary]]*Table1[[#This Row],[Bonus_Percentage]]</f>
        <v>0</v>
      </c>
    </row>
    <row r="91" spans="1:12" x14ac:dyDescent="0.25">
      <c r="A91" t="s">
        <v>190</v>
      </c>
      <c r="B91" t="str">
        <f>CONCATENATE(Raw_Employee_Data!B91," ",Raw_Employee_Data!C91)</f>
        <v>Melissa Anderson</v>
      </c>
      <c r="C91" t="str">
        <f>UPPER(TRIM(Raw_Employee_Data!D90:D247))</f>
        <v>OPS06</v>
      </c>
      <c r="D91" t="str">
        <f>VLOOKUP(C91,Lookup_Departments!$A$1:$B$7,2,)</f>
        <v>Operations</v>
      </c>
      <c r="E91" s="5">
        <v>43436</v>
      </c>
      <c r="F91" s="4">
        <f t="shared" ca="1" si="1"/>
        <v>7.5944444444444441</v>
      </c>
      <c r="G91" s="6">
        <v>68683</v>
      </c>
      <c r="H91">
        <v>90</v>
      </c>
      <c r="I91" t="str">
        <f>VLOOKUP(H91,Lookup_Performance!$A$1:$D$6,3)</f>
        <v>Exceeding</v>
      </c>
      <c r="J91" s="7">
        <f>VLOOKUP(H91,Lookup_Performance!$A$1:$D$6,4)</f>
        <v>0.08</v>
      </c>
      <c r="K91" t="str">
        <f>PROPER(TRIM(Raw_Employee_Data!H90:H247))</f>
        <v>Active</v>
      </c>
      <c r="L91" s="6">
        <f>Table1[[#This Row],[Salary]]*Table1[[#This Row],[Bonus_Percentage]]</f>
        <v>5494.64</v>
      </c>
    </row>
    <row r="92" spans="1:12" x14ac:dyDescent="0.25">
      <c r="A92" t="s">
        <v>191</v>
      </c>
      <c r="B92" t="str">
        <f>CONCATENATE(Raw_Employee_Data!B92," ",Raw_Employee_Data!C92)</f>
        <v>Emily Gonzalez</v>
      </c>
      <c r="C92" t="str">
        <f>UPPER(TRIM(Raw_Employee_Data!D91:D248))</f>
        <v>HR01</v>
      </c>
      <c r="D92" t="str">
        <f>VLOOKUP(C92,Lookup_Departments!$A$1:$B$7,2,)</f>
        <v>Human Resources</v>
      </c>
      <c r="E92" s="5">
        <v>43639</v>
      </c>
      <c r="F92" s="4">
        <f t="shared" ca="1" si="1"/>
        <v>7.0361111111111114</v>
      </c>
      <c r="G92" s="6">
        <v>83932</v>
      </c>
      <c r="H92">
        <v>57</v>
      </c>
      <c r="I92" t="str">
        <f>VLOOKUP(H92,Lookup_Performance!$A$1:$D$6,3)</f>
        <v>Developing</v>
      </c>
      <c r="J92" s="7">
        <f>VLOOKUP(H92,Lookup_Performance!$A$1:$D$6,4)</f>
        <v>0.02</v>
      </c>
      <c r="K92" t="str">
        <f>PROPER(TRIM(Raw_Employee_Data!H91:H248))</f>
        <v>Active</v>
      </c>
      <c r="L92" s="6">
        <f>Table1[[#This Row],[Salary]]*Table1[[#This Row],[Bonus_Percentage]]</f>
        <v>1678.64</v>
      </c>
    </row>
    <row r="93" spans="1:12" x14ac:dyDescent="0.25">
      <c r="A93" t="s">
        <v>192</v>
      </c>
      <c r="B93" t="str">
        <f>CONCATENATE(Raw_Employee_Data!B93," ",Raw_Employee_Data!C93)</f>
        <v>Jane Davis</v>
      </c>
      <c r="C93" t="str">
        <f>UPPER(TRIM(Raw_Employee_Data!D92:D249))</f>
        <v>IT02</v>
      </c>
      <c r="D93" t="str">
        <f>VLOOKUP(C93,Lookup_Departments!$A$1:$B$7,2,)</f>
        <v>Information Technology</v>
      </c>
      <c r="E93" s="5">
        <v>42304</v>
      </c>
      <c r="F93" s="4">
        <f t="shared" ca="1" si="1"/>
        <v>10.691666666666666</v>
      </c>
      <c r="G93" s="6">
        <v>56073</v>
      </c>
      <c r="H93">
        <v>79</v>
      </c>
      <c r="I93" t="str">
        <f>VLOOKUP(H93,Lookup_Performance!$A$1:$D$6,3)</f>
        <v>Achieving</v>
      </c>
      <c r="J93" s="7">
        <f>VLOOKUP(H93,Lookup_Performance!$A$1:$D$6,4)</f>
        <v>0.05</v>
      </c>
      <c r="K93" t="str">
        <f>PROPER(TRIM(Raw_Employee_Data!H92:H249))</f>
        <v>Active</v>
      </c>
      <c r="L93" s="6">
        <f>Table1[[#This Row],[Salary]]*Table1[[#This Row],[Bonus_Percentage]]</f>
        <v>2803.65</v>
      </c>
    </row>
    <row r="94" spans="1:12" x14ac:dyDescent="0.25">
      <c r="A94" t="s">
        <v>193</v>
      </c>
      <c r="B94" t="str">
        <f>CONCATENATE(Raw_Employee_Data!B94," ",Raw_Employee_Data!C94)</f>
        <v>William Gonzalez</v>
      </c>
      <c r="C94" t="str">
        <f>UPPER(TRIM(Raw_Employee_Data!D93:D250))</f>
        <v>OPS06</v>
      </c>
      <c r="D94" t="str">
        <f>VLOOKUP(C94,Lookup_Departments!$A$1:$B$7,2,)</f>
        <v>Operations</v>
      </c>
      <c r="E94" s="5">
        <v>43270</v>
      </c>
      <c r="F94" s="4">
        <f t="shared" ca="1" si="1"/>
        <v>8.0472222222222225</v>
      </c>
      <c r="G94" s="6">
        <v>88056</v>
      </c>
      <c r="H94">
        <v>66</v>
      </c>
      <c r="I94" t="str">
        <f>VLOOKUP(H94,Lookup_Performance!$A$1:$D$6,3)</f>
        <v>Developing</v>
      </c>
      <c r="J94" s="7">
        <f>VLOOKUP(H94,Lookup_Performance!$A$1:$D$6,4)</f>
        <v>0.02</v>
      </c>
      <c r="K94" t="str">
        <f>PROPER(TRIM(Raw_Employee_Data!H93:H250))</f>
        <v>Active</v>
      </c>
      <c r="L94" s="6">
        <f>Table1[[#This Row],[Salary]]*Table1[[#This Row],[Bonus_Percentage]]</f>
        <v>1761.1200000000001</v>
      </c>
    </row>
    <row r="95" spans="1:12" x14ac:dyDescent="0.25">
      <c r="A95" t="s">
        <v>195</v>
      </c>
      <c r="B95" t="str">
        <f>CONCATENATE(Raw_Employee_Data!B95," ",Raw_Employee_Data!C95)</f>
        <v>Thomas Jones</v>
      </c>
      <c r="C95" t="str">
        <f>UPPER(TRIM(Raw_Employee_Data!D94:D251))</f>
        <v>FIN03</v>
      </c>
      <c r="D95" t="str">
        <f>VLOOKUP(C95,Lookup_Departments!$A$1:$B$7,2,)</f>
        <v>Finance</v>
      </c>
      <c r="E95" s="5">
        <v>43112</v>
      </c>
      <c r="F95" s="4">
        <f t="shared" ca="1" si="1"/>
        <v>8.4833333333333325</v>
      </c>
      <c r="G95" s="6">
        <v>67414</v>
      </c>
      <c r="H95">
        <v>84</v>
      </c>
      <c r="I95" t="str">
        <f>VLOOKUP(H95,Lookup_Performance!$A$1:$D$6,3)</f>
        <v>Achieving</v>
      </c>
      <c r="J95" s="7">
        <f>VLOOKUP(H95,Lookup_Performance!$A$1:$D$6,4)</f>
        <v>0.05</v>
      </c>
      <c r="K95" t="str">
        <f>PROPER(TRIM(Raw_Employee_Data!H94:H251))</f>
        <v>Left</v>
      </c>
      <c r="L95" s="6">
        <f>Table1[[#This Row],[Salary]]*Table1[[#This Row],[Bonus_Percentage]]</f>
        <v>3370.7000000000003</v>
      </c>
    </row>
    <row r="96" spans="1:12" x14ac:dyDescent="0.25">
      <c r="A96" t="s">
        <v>196</v>
      </c>
      <c r="B96" t="str">
        <f>CONCATENATE(Raw_Employee_Data!B96," ",Raw_Employee_Data!C96)</f>
        <v>Jessica Anderson</v>
      </c>
      <c r="C96" t="str">
        <f>UPPER(TRIM(Raw_Employee_Data!D95:D252))</f>
        <v>HR01</v>
      </c>
      <c r="D96" t="str">
        <f>VLOOKUP(C96,Lookup_Departments!$A$1:$B$7,2,)</f>
        <v>Human Resources</v>
      </c>
      <c r="E96" s="5">
        <v>42008</v>
      </c>
      <c r="F96" s="4">
        <f t="shared" ca="1" si="1"/>
        <v>11.505555555555556</v>
      </c>
      <c r="G96" s="6">
        <v>115288</v>
      </c>
      <c r="H96">
        <v>61</v>
      </c>
      <c r="I96" t="str">
        <f>VLOOKUP(H96,Lookup_Performance!$A$1:$D$6,3)</f>
        <v>Developing</v>
      </c>
      <c r="J96" s="7">
        <f>VLOOKUP(H96,Lookup_Performance!$A$1:$D$6,4)</f>
        <v>0.02</v>
      </c>
      <c r="K96" t="str">
        <f>PROPER(TRIM(Raw_Employee_Data!H95:H252))</f>
        <v>Active</v>
      </c>
      <c r="L96" s="6">
        <f>Table1[[#This Row],[Salary]]*Table1[[#This Row],[Bonus_Percentage]]</f>
        <v>2305.7600000000002</v>
      </c>
    </row>
    <row r="97" spans="1:12" x14ac:dyDescent="0.25">
      <c r="A97" t="s">
        <v>198</v>
      </c>
      <c r="B97" t="str">
        <f>CONCATENATE(Raw_Employee_Data!B97," ",Raw_Employee_Data!C97)</f>
        <v>Melissa Johnson</v>
      </c>
      <c r="C97" t="str">
        <f>UPPER(TRIM(Raw_Employee_Data!D96:D253))</f>
        <v>IT02</v>
      </c>
      <c r="D97" t="str">
        <f>VLOOKUP(C97,Lookup_Departments!$A$1:$B$7,2,)</f>
        <v>Information Technology</v>
      </c>
      <c r="E97" s="5">
        <v>43439</v>
      </c>
      <c r="F97" s="4">
        <f t="shared" ca="1" si="1"/>
        <v>7.5861111111111112</v>
      </c>
      <c r="G97" s="6">
        <v>80140</v>
      </c>
      <c r="H97">
        <v>58</v>
      </c>
      <c r="I97" t="str">
        <f>VLOOKUP(H97,Lookup_Performance!$A$1:$D$6,3)</f>
        <v>Developing</v>
      </c>
      <c r="J97" s="7">
        <f>VLOOKUP(H97,Lookup_Performance!$A$1:$D$6,4)</f>
        <v>0.02</v>
      </c>
      <c r="K97" t="str">
        <f>PROPER(TRIM(Raw_Employee_Data!H96:H253))</f>
        <v>Active</v>
      </c>
      <c r="L97" s="6">
        <f>Table1[[#This Row],[Salary]]*Table1[[#This Row],[Bonus_Percentage]]</f>
        <v>1602.8</v>
      </c>
    </row>
    <row r="98" spans="1:12" x14ac:dyDescent="0.25">
      <c r="A98" t="s">
        <v>199</v>
      </c>
      <c r="B98" t="str">
        <f>CONCATENATE(Raw_Employee_Data!B98," ",Raw_Employee_Data!C98)</f>
        <v>Thomas Miller</v>
      </c>
      <c r="C98" t="str">
        <f>UPPER(TRIM(Raw_Employee_Data!D97:D254))</f>
        <v>OPS06</v>
      </c>
      <c r="D98" t="str">
        <f>VLOOKUP(C98,Lookup_Departments!$A$1:$B$7,2,)</f>
        <v>Operations</v>
      </c>
      <c r="E98" s="5">
        <v>44482</v>
      </c>
      <c r="F98" s="4">
        <f t="shared" ca="1" si="1"/>
        <v>4.7305555555555552</v>
      </c>
      <c r="G98" s="6">
        <v>73087</v>
      </c>
      <c r="H98">
        <v>69</v>
      </c>
      <c r="I98" t="str">
        <f>VLOOKUP(H98,Lookup_Performance!$A$1:$D$6,3)</f>
        <v>Developing</v>
      </c>
      <c r="J98" s="7">
        <f>VLOOKUP(H98,Lookup_Performance!$A$1:$D$6,4)</f>
        <v>0.02</v>
      </c>
      <c r="K98" t="str">
        <f>PROPER(TRIM(Raw_Employee_Data!H97:H254))</f>
        <v>Left</v>
      </c>
      <c r="L98" s="6">
        <f>Table1[[#This Row],[Salary]]*Table1[[#This Row],[Bonus_Percentage]]</f>
        <v>1461.74</v>
      </c>
    </row>
    <row r="99" spans="1:12" x14ac:dyDescent="0.25">
      <c r="A99" t="s">
        <v>200</v>
      </c>
      <c r="B99" t="str">
        <f>CONCATENATE(Raw_Employee_Data!B99," ",Raw_Employee_Data!C99)</f>
        <v>William Gonzalez</v>
      </c>
      <c r="C99" t="str">
        <f>UPPER(TRIM(Raw_Employee_Data!D98:D255))</f>
        <v>SAL05</v>
      </c>
      <c r="D99" t="str">
        <f>VLOOKUP(C99,Lookup_Departments!$A$1:$B$7,2,)</f>
        <v>Sales</v>
      </c>
      <c r="E99" s="5">
        <v>44081</v>
      </c>
      <c r="F99" s="4">
        <f t="shared" ca="1" si="1"/>
        <v>5.8305555555555557</v>
      </c>
      <c r="G99" s="6">
        <v>95292</v>
      </c>
      <c r="H99">
        <v>34</v>
      </c>
      <c r="I99" t="str">
        <f>VLOOKUP(H99,Lookup_Performance!$A$1:$D$6,3)</f>
        <v>Needs Improvement</v>
      </c>
      <c r="J99" s="7">
        <f>VLOOKUP(H99,Lookup_Performance!$A$1:$D$6,4)</f>
        <v>0</v>
      </c>
      <c r="K99" t="str">
        <f>PROPER(TRIM(Raw_Employee_Data!H98:H255))</f>
        <v>Active</v>
      </c>
      <c r="L99" s="6">
        <f>Table1[[#This Row],[Salary]]*Table1[[#This Row],[Bonus_Percentage]]</f>
        <v>0</v>
      </c>
    </row>
    <row r="100" spans="1:12" x14ac:dyDescent="0.25">
      <c r="A100" t="s">
        <v>201</v>
      </c>
      <c r="B100" t="str">
        <f>CONCATENATE(Raw_Employee_Data!B100," ",Raw_Employee_Data!C100)</f>
        <v xml:space="preserve"> Smith</v>
      </c>
      <c r="C100" t="str">
        <f>UPPER(TRIM(Raw_Employee_Data!D99:D256))</f>
        <v>SAL05</v>
      </c>
      <c r="D100" t="str">
        <f>VLOOKUP(C100,Lookup_Departments!$A$1:$B$7,2,)</f>
        <v>Sales</v>
      </c>
      <c r="E100" s="5">
        <v>43680</v>
      </c>
      <c r="F100" s="4">
        <f t="shared" ca="1" si="1"/>
        <v>6.9249999999999998</v>
      </c>
      <c r="G100" s="6">
        <v>83604</v>
      </c>
      <c r="H100">
        <v>33</v>
      </c>
      <c r="I100" t="str">
        <f>VLOOKUP(H100,Lookup_Performance!$A$1:$D$6,3)</f>
        <v>Needs Improvement</v>
      </c>
      <c r="J100" s="7">
        <f>VLOOKUP(H100,Lookup_Performance!$A$1:$D$6,4)</f>
        <v>0</v>
      </c>
      <c r="K100" t="str">
        <f>PROPER(TRIM(Raw_Employee_Data!H99:H256))</f>
        <v>Active</v>
      </c>
      <c r="L100" s="6">
        <f>Table1[[#This Row],[Salary]]*Table1[[#This Row],[Bonus_Percentage]]</f>
        <v>0</v>
      </c>
    </row>
    <row r="101" spans="1:12" x14ac:dyDescent="0.25">
      <c r="A101" t="s">
        <v>203</v>
      </c>
      <c r="B101" t="str">
        <f>CONCATENATE(Raw_Employee_Data!B101," ",Raw_Employee_Data!C101)</f>
        <v>John Johnson</v>
      </c>
      <c r="C101" t="str">
        <f>UPPER(TRIM(Raw_Employee_Data!D100:D257))</f>
        <v>IT02</v>
      </c>
      <c r="D101" t="str">
        <f>VLOOKUP(C101,Lookup_Departments!$A$1:$B$7,2,)</f>
        <v>Information Technology</v>
      </c>
      <c r="E101" s="5">
        <v>42074</v>
      </c>
      <c r="F101" s="4">
        <f t="shared" ca="1" si="1"/>
        <v>11.319444444444445</v>
      </c>
      <c r="G101" s="6">
        <v>101750</v>
      </c>
      <c r="H101">
        <v>84</v>
      </c>
      <c r="I101" t="str">
        <f>VLOOKUP(H101,Lookup_Performance!$A$1:$D$6,3)</f>
        <v>Achieving</v>
      </c>
      <c r="J101" s="7">
        <f>VLOOKUP(H101,Lookup_Performance!$A$1:$D$6,4)</f>
        <v>0.05</v>
      </c>
      <c r="K101" t="str">
        <f>PROPER(TRIM(Raw_Employee_Data!H100:H257))</f>
        <v>Active</v>
      </c>
      <c r="L101" s="6">
        <f>Table1[[#This Row],[Salary]]*Table1[[#This Row],[Bonus_Percentage]]</f>
        <v>5087.5</v>
      </c>
    </row>
    <row r="102" spans="1:12" x14ac:dyDescent="0.25">
      <c r="A102" t="s">
        <v>205</v>
      </c>
      <c r="B102" t="str">
        <f>CONCATENATE(Raw_Employee_Data!B102," ",Raw_Employee_Data!C102)</f>
        <v>Jane Johnson</v>
      </c>
      <c r="C102" t="str">
        <f>UPPER(TRIM(Raw_Employee_Data!D101:D258))</f>
        <v>SAL05</v>
      </c>
      <c r="D102" t="str">
        <f>VLOOKUP(C102,Lookup_Departments!$A$1:$B$7,2,)</f>
        <v>Sales</v>
      </c>
      <c r="E102" s="5">
        <v>42785</v>
      </c>
      <c r="F102" s="4">
        <f t="shared" ca="1" si="1"/>
        <v>9.3805555555555564</v>
      </c>
      <c r="G102" s="6">
        <v>82992</v>
      </c>
      <c r="H102">
        <v>79</v>
      </c>
      <c r="I102" t="str">
        <f>VLOOKUP(H102,Lookup_Performance!$A$1:$D$6,3)</f>
        <v>Achieving</v>
      </c>
      <c r="J102" s="7">
        <f>VLOOKUP(H102,Lookup_Performance!$A$1:$D$6,4)</f>
        <v>0.05</v>
      </c>
      <c r="K102" t="str">
        <f>PROPER(TRIM(Raw_Employee_Data!H101:H258))</f>
        <v>Active</v>
      </c>
      <c r="L102" s="6">
        <f>Table1[[#This Row],[Salary]]*Table1[[#This Row],[Bonus_Percentage]]</f>
        <v>4149.6000000000004</v>
      </c>
    </row>
    <row r="103" spans="1:12" x14ac:dyDescent="0.25">
      <c r="A103" t="s">
        <v>207</v>
      </c>
      <c r="B103" t="str">
        <f>CONCATENATE(Raw_Employee_Data!B103," ",Raw_Employee_Data!C103)</f>
        <v>John Jones</v>
      </c>
      <c r="C103" t="str">
        <f>UPPER(TRIM(Raw_Employee_Data!D102:D259))</f>
        <v>IT02</v>
      </c>
      <c r="D103" t="str">
        <f>VLOOKUP(C103,Lookup_Departments!$A$1:$B$7,2,)</f>
        <v>Information Technology</v>
      </c>
      <c r="E103" s="5">
        <v>45055</v>
      </c>
      <c r="F103" s="4">
        <f t="shared" ca="1" si="1"/>
        <v>3.1583333333333332</v>
      </c>
      <c r="G103" s="6">
        <v>49942</v>
      </c>
      <c r="H103">
        <v>51</v>
      </c>
      <c r="I103" t="str">
        <f>VLOOKUP(H103,Lookup_Performance!$A$1:$D$6,3)</f>
        <v>Developing</v>
      </c>
      <c r="J103" s="7">
        <f>VLOOKUP(H103,Lookup_Performance!$A$1:$D$6,4)</f>
        <v>0.02</v>
      </c>
      <c r="K103" t="str">
        <f>PROPER(TRIM(Raw_Employee_Data!H102:H259))</f>
        <v>Active</v>
      </c>
      <c r="L103" s="6">
        <f>Table1[[#This Row],[Salary]]*Table1[[#This Row],[Bonus_Percentage]]</f>
        <v>998.84</v>
      </c>
    </row>
    <row r="104" spans="1:12" x14ac:dyDescent="0.25">
      <c r="A104" t="s">
        <v>209</v>
      </c>
      <c r="B104" t="str">
        <f>CONCATENATE(Raw_Employee_Data!B104," ",Raw_Employee_Data!C104)</f>
        <v>Jane Lopez</v>
      </c>
      <c r="C104" t="str">
        <f>UPPER(TRIM(Raw_Employee_Data!D103:D260))</f>
        <v>MKT04</v>
      </c>
      <c r="D104" t="str">
        <f>VLOOKUP(C104,Lookup_Departments!$A$1:$B$7,2,)</f>
        <v>Marketing</v>
      </c>
      <c r="E104" s="5">
        <v>43122</v>
      </c>
      <c r="F104" s="4">
        <f t="shared" ca="1" si="1"/>
        <v>8.4555555555555557</v>
      </c>
      <c r="G104" s="6">
        <v>89060</v>
      </c>
      <c r="H104">
        <v>58</v>
      </c>
      <c r="I104" t="str">
        <f>VLOOKUP(H104,Lookup_Performance!$A$1:$D$6,3)</f>
        <v>Developing</v>
      </c>
      <c r="J104" s="7">
        <f>VLOOKUP(H104,Lookup_Performance!$A$1:$D$6,4)</f>
        <v>0.02</v>
      </c>
      <c r="K104" t="str">
        <f>PROPER(TRIM(Raw_Employee_Data!H103:H260))</f>
        <v>Left</v>
      </c>
      <c r="L104" s="6">
        <f>Table1[[#This Row],[Salary]]*Table1[[#This Row],[Bonus_Percentage]]</f>
        <v>1781.2</v>
      </c>
    </row>
    <row r="105" spans="1:12" x14ac:dyDescent="0.25">
      <c r="A105" t="s">
        <v>210</v>
      </c>
      <c r="B105" t="str">
        <f>CONCATENATE(Raw_Employee_Data!B105," ",Raw_Employee_Data!C105)</f>
        <v>Melissa Gonzalez</v>
      </c>
      <c r="C105" t="str">
        <f>UPPER(TRIM(Raw_Employee_Data!D104:D261))</f>
        <v>MKT04</v>
      </c>
      <c r="D105" t="str">
        <f>VLOOKUP(C105,Lookup_Departments!$A$1:$B$7,2,)</f>
        <v>Marketing</v>
      </c>
      <c r="E105" s="5">
        <v>43879</v>
      </c>
      <c r="F105" s="4">
        <f t="shared" ca="1" si="1"/>
        <v>6.3833333333333337</v>
      </c>
      <c r="G105" s="6">
        <v>53786</v>
      </c>
      <c r="H105">
        <v>98</v>
      </c>
      <c r="I105" t="str">
        <f>VLOOKUP(H105,Lookup_Performance!$A$1:$D$6,3)</f>
        <v>Outstanding</v>
      </c>
      <c r="J105" s="7">
        <f>VLOOKUP(H105,Lookup_Performance!$A$1:$D$6,4)</f>
        <v>0.12</v>
      </c>
      <c r="K105" t="str">
        <f>PROPER(TRIM(Raw_Employee_Data!H104:H261))</f>
        <v>Active</v>
      </c>
      <c r="L105" s="6">
        <f>Table1[[#This Row],[Salary]]*Table1[[#This Row],[Bonus_Percentage]]</f>
        <v>6454.32</v>
      </c>
    </row>
    <row r="106" spans="1:12" x14ac:dyDescent="0.25">
      <c r="A106" t="s">
        <v>211</v>
      </c>
      <c r="B106" t="str">
        <f>CONCATENATE(Raw_Employee_Data!B106," ",Raw_Employee_Data!C106)</f>
        <v>William Davis</v>
      </c>
      <c r="C106" t="str">
        <f>UPPER(TRIM(Raw_Employee_Data!D105:D262))</f>
        <v>IT02</v>
      </c>
      <c r="D106" t="str">
        <f>VLOOKUP(C106,Lookup_Departments!$A$1:$B$7,2,)</f>
        <v>Information Technology</v>
      </c>
      <c r="E106" s="5">
        <v>42512</v>
      </c>
      <c r="F106" s="4">
        <f t="shared" ca="1" si="1"/>
        <v>10.122222222222222</v>
      </c>
      <c r="G106" s="6">
        <v>81167</v>
      </c>
      <c r="H106">
        <v>68</v>
      </c>
      <c r="I106" t="str">
        <f>VLOOKUP(H106,Lookup_Performance!$A$1:$D$6,3)</f>
        <v>Developing</v>
      </c>
      <c r="J106" s="7">
        <f>VLOOKUP(H106,Lookup_Performance!$A$1:$D$6,4)</f>
        <v>0.02</v>
      </c>
      <c r="K106" t="str">
        <f>PROPER(TRIM(Raw_Employee_Data!H105:H262))</f>
        <v>Active</v>
      </c>
      <c r="L106" s="6">
        <f>Table1[[#This Row],[Salary]]*Table1[[#This Row],[Bonus_Percentage]]</f>
        <v>1623.3400000000001</v>
      </c>
    </row>
    <row r="107" spans="1:12" x14ac:dyDescent="0.25">
      <c r="A107" t="s">
        <v>213</v>
      </c>
      <c r="B107" t="str">
        <f>CONCATENATE(Raw_Employee_Data!B107," ",Raw_Employee_Data!C107)</f>
        <v>John Smith</v>
      </c>
      <c r="C107" t="str">
        <f>UPPER(TRIM(Raw_Employee_Data!D106:D263))</f>
        <v>OPS06</v>
      </c>
      <c r="D107" t="str">
        <f>VLOOKUP(C107,Lookup_Departments!$A$1:$B$7,2,)</f>
        <v>Operations</v>
      </c>
      <c r="E107" s="5">
        <v>44349</v>
      </c>
      <c r="F107" s="4">
        <f t="shared" ca="1" si="1"/>
        <v>5.0944444444444441</v>
      </c>
      <c r="G107" s="6">
        <v>66688</v>
      </c>
      <c r="H107">
        <v>40</v>
      </c>
      <c r="I107" t="str">
        <f>VLOOKUP(H107,Lookup_Performance!$A$1:$D$6,3)</f>
        <v>Needs Improvement</v>
      </c>
      <c r="J107" s="7">
        <f>VLOOKUP(H107,Lookup_Performance!$A$1:$D$6,4)</f>
        <v>0</v>
      </c>
      <c r="K107" t="str">
        <f>PROPER(TRIM(Raw_Employee_Data!H106:H263))</f>
        <v>Active</v>
      </c>
      <c r="L107" s="6">
        <f>Table1[[#This Row],[Salary]]*Table1[[#This Row],[Bonus_Percentage]]</f>
        <v>0</v>
      </c>
    </row>
    <row r="108" spans="1:12" x14ac:dyDescent="0.25">
      <c r="A108" t="s">
        <v>214</v>
      </c>
      <c r="B108" t="str">
        <f>CONCATENATE(Raw_Employee_Data!B108," ",Raw_Employee_Data!C108)</f>
        <v>James Gonzalez</v>
      </c>
      <c r="C108" t="str">
        <f>UPPER(TRIM(Raw_Employee_Data!D107:D264))</f>
        <v>IT02</v>
      </c>
      <c r="D108" t="str">
        <f>VLOOKUP(C108,Lookup_Departments!$A$1:$B$7,2,)</f>
        <v>Information Technology</v>
      </c>
      <c r="E108" s="5">
        <v>44394</v>
      </c>
      <c r="F108" s="4">
        <f t="shared" ca="1" si="1"/>
        <v>4.9694444444444441</v>
      </c>
      <c r="G108" s="6">
        <v>91672</v>
      </c>
      <c r="H108">
        <v>88</v>
      </c>
      <c r="I108" t="str">
        <f>VLOOKUP(H108,Lookup_Performance!$A$1:$D$6,3)</f>
        <v>Exceeding</v>
      </c>
      <c r="J108" s="7">
        <f>VLOOKUP(H108,Lookup_Performance!$A$1:$D$6,4)</f>
        <v>0.08</v>
      </c>
      <c r="K108" t="str">
        <f>PROPER(TRIM(Raw_Employee_Data!H107:H264))</f>
        <v>Active</v>
      </c>
      <c r="L108" s="6">
        <f>Table1[[#This Row],[Salary]]*Table1[[#This Row],[Bonus_Percentage]]</f>
        <v>7333.76</v>
      </c>
    </row>
    <row r="109" spans="1:12" x14ac:dyDescent="0.25">
      <c r="A109" t="s">
        <v>215</v>
      </c>
      <c r="B109" t="str">
        <f>CONCATENATE(Raw_Employee_Data!B109," ",Raw_Employee_Data!C109)</f>
        <v>Emily Johnson</v>
      </c>
      <c r="C109" t="str">
        <f>UPPER(TRIM(Raw_Employee_Data!D108:D265))</f>
        <v>OPS06</v>
      </c>
      <c r="D109" t="str">
        <f>VLOOKUP(C109,Lookup_Departments!$A$1:$B$7,2,)</f>
        <v>Operations</v>
      </c>
      <c r="E109" s="5">
        <v>42687</v>
      </c>
      <c r="F109" s="4">
        <f t="shared" ca="1" si="1"/>
        <v>9.6472222222222221</v>
      </c>
      <c r="G109" s="6">
        <v>77737</v>
      </c>
      <c r="H109">
        <v>77</v>
      </c>
      <c r="I109" t="str">
        <f>VLOOKUP(H109,Lookup_Performance!$A$1:$D$6,3)</f>
        <v>Achieving</v>
      </c>
      <c r="J109" s="7">
        <f>VLOOKUP(H109,Lookup_Performance!$A$1:$D$6,4)</f>
        <v>0.05</v>
      </c>
      <c r="K109" t="str">
        <f>PROPER(TRIM(Raw_Employee_Data!H108:H265))</f>
        <v>Active</v>
      </c>
      <c r="L109" s="6">
        <f>Table1[[#This Row],[Salary]]*Table1[[#This Row],[Bonus_Percentage]]</f>
        <v>3886.8500000000004</v>
      </c>
    </row>
    <row r="110" spans="1:12" x14ac:dyDescent="0.25">
      <c r="A110" t="s">
        <v>218</v>
      </c>
      <c r="B110" t="str">
        <f>CONCATENATE(Raw_Employee_Data!B110," ",Raw_Employee_Data!C110)</f>
        <v>William Williams</v>
      </c>
      <c r="C110" t="str">
        <f>UPPER(TRIM(Raw_Employee_Data!D109:D266))</f>
        <v>MKT04</v>
      </c>
      <c r="D110" t="str">
        <f>VLOOKUP(C110,Lookup_Departments!$A$1:$B$7,2,)</f>
        <v>Marketing</v>
      </c>
      <c r="E110" s="5">
        <v>43513</v>
      </c>
      <c r="F110" s="4">
        <f t="shared" ca="1" si="1"/>
        <v>7.3861111111111111</v>
      </c>
      <c r="G110" s="6">
        <v>95686</v>
      </c>
      <c r="H110">
        <v>91</v>
      </c>
      <c r="I110" t="str">
        <f>VLOOKUP(H110,Lookup_Performance!$A$1:$D$6,3)</f>
        <v>Exceeding</v>
      </c>
      <c r="J110" s="7">
        <f>VLOOKUP(H110,Lookup_Performance!$A$1:$D$6,4)</f>
        <v>0.08</v>
      </c>
      <c r="K110" t="str">
        <f>PROPER(TRIM(Raw_Employee_Data!H109:H266))</f>
        <v>Left</v>
      </c>
      <c r="L110" s="6">
        <f>Table1[[#This Row],[Salary]]*Table1[[#This Row],[Bonus_Percentage]]</f>
        <v>7654.88</v>
      </c>
    </row>
    <row r="111" spans="1:12" x14ac:dyDescent="0.25">
      <c r="A111" t="s">
        <v>220</v>
      </c>
      <c r="B111" t="str">
        <f>CONCATENATE(Raw_Employee_Data!B111," ",Raw_Employee_Data!C111)</f>
        <v>James Jones</v>
      </c>
      <c r="C111" t="str">
        <f>UPPER(TRIM(Raw_Employee_Data!D110:D267))</f>
        <v>IT02</v>
      </c>
      <c r="D111" t="str">
        <f>VLOOKUP(C111,Lookup_Departments!$A$1:$B$7,2,)</f>
        <v>Information Technology</v>
      </c>
      <c r="E111" s="5">
        <v>42625</v>
      </c>
      <c r="F111" s="4">
        <f t="shared" ca="1" si="1"/>
        <v>9.8166666666666664</v>
      </c>
      <c r="G111" s="6">
        <v>114681</v>
      </c>
      <c r="H111">
        <v>36</v>
      </c>
      <c r="I111" t="str">
        <f>VLOOKUP(H111,Lookup_Performance!$A$1:$D$6,3)</f>
        <v>Needs Improvement</v>
      </c>
      <c r="J111" s="7">
        <f>VLOOKUP(H111,Lookup_Performance!$A$1:$D$6,4)</f>
        <v>0</v>
      </c>
      <c r="K111" t="str">
        <f>PROPER(TRIM(Raw_Employee_Data!H110:H267))</f>
        <v>Active</v>
      </c>
      <c r="L111" s="6">
        <f>Table1[[#This Row],[Salary]]*Table1[[#This Row],[Bonus_Percentage]]</f>
        <v>0</v>
      </c>
    </row>
    <row r="112" spans="1:12" x14ac:dyDescent="0.25">
      <c r="A112" t="s">
        <v>221</v>
      </c>
      <c r="B112" t="str">
        <f>CONCATENATE(Raw_Employee_Data!B112," ",Raw_Employee_Data!C112)</f>
        <v>Jessica Gonzalez</v>
      </c>
      <c r="C112" t="str">
        <f>UPPER(TRIM(Raw_Employee_Data!D111:D268))</f>
        <v>HR01</v>
      </c>
      <c r="D112" t="str">
        <f>VLOOKUP(C112,Lookup_Departments!$A$1:$B$7,2,)</f>
        <v>Human Resources</v>
      </c>
      <c r="E112" s="5">
        <v>44421</v>
      </c>
      <c r="F112" s="4">
        <f t="shared" ca="1" si="1"/>
        <v>4.8972222222222221</v>
      </c>
      <c r="G112" s="6">
        <v>109121</v>
      </c>
      <c r="H112">
        <v>72</v>
      </c>
      <c r="I112" t="str">
        <f>VLOOKUP(H112,Lookup_Performance!$A$1:$D$6,3)</f>
        <v>Achieving</v>
      </c>
      <c r="J112" s="7">
        <f>VLOOKUP(H112,Lookup_Performance!$A$1:$D$6,4)</f>
        <v>0.05</v>
      </c>
      <c r="K112" t="str">
        <f>PROPER(TRIM(Raw_Employee_Data!H111:H268))</f>
        <v>Active</v>
      </c>
      <c r="L112" s="6">
        <f>Table1[[#This Row],[Salary]]*Table1[[#This Row],[Bonus_Percentage]]</f>
        <v>5456.05</v>
      </c>
    </row>
    <row r="113" spans="1:12" x14ac:dyDescent="0.25">
      <c r="A113" t="s">
        <v>224</v>
      </c>
      <c r="B113" t="str">
        <f>CONCATENATE(Raw_Employee_Data!B113," ",Raw_Employee_Data!C113)</f>
        <v>Sarah Miller</v>
      </c>
      <c r="C113" t="str">
        <f>UPPER(TRIM(Raw_Employee_Data!D112:D269))</f>
        <v>SAL05</v>
      </c>
      <c r="D113" t="str">
        <f>VLOOKUP(C113,Lookup_Departments!$A$1:$B$7,2,)</f>
        <v>Sales</v>
      </c>
      <c r="E113" s="5">
        <v>43996</v>
      </c>
      <c r="F113" s="4">
        <f t="shared" ca="1" si="1"/>
        <v>6.0611111111111109</v>
      </c>
      <c r="G113" s="6">
        <v>112791</v>
      </c>
      <c r="H113">
        <v>87</v>
      </c>
      <c r="I113" t="str">
        <f>VLOOKUP(H113,Lookup_Performance!$A$1:$D$6,3)</f>
        <v>Exceeding</v>
      </c>
      <c r="J113" s="7">
        <f>VLOOKUP(H113,Lookup_Performance!$A$1:$D$6,4)</f>
        <v>0.08</v>
      </c>
      <c r="K113" t="str">
        <f>PROPER(TRIM(Raw_Employee_Data!H112:H269))</f>
        <v>Active</v>
      </c>
      <c r="L113" s="6">
        <f>Table1[[#This Row],[Salary]]*Table1[[#This Row],[Bonus_Percentage]]</f>
        <v>9023.2800000000007</v>
      </c>
    </row>
    <row r="114" spans="1:12" x14ac:dyDescent="0.25">
      <c r="A114" t="s">
        <v>226</v>
      </c>
      <c r="B114" t="str">
        <f>CONCATENATE(Raw_Employee_Data!B114," ",Raw_Employee_Data!C114)</f>
        <v>Jessica Smith</v>
      </c>
      <c r="C114" t="str">
        <f>UPPER(TRIM(Raw_Employee_Data!D113:D270))</f>
        <v>SAL05</v>
      </c>
      <c r="D114" t="str">
        <f>VLOOKUP(C114,Lookup_Departments!$A$1:$B$7,2,)</f>
        <v>Sales</v>
      </c>
      <c r="E114" s="5">
        <v>44747</v>
      </c>
      <c r="F114" s="4">
        <f t="shared" ca="1" si="1"/>
        <v>4.0027777777777782</v>
      </c>
      <c r="G114" s="6">
        <v>118008</v>
      </c>
      <c r="H114">
        <v>71</v>
      </c>
      <c r="I114" t="str">
        <f>VLOOKUP(H114,Lookup_Performance!$A$1:$D$6,3)</f>
        <v>Achieving</v>
      </c>
      <c r="J114" s="7">
        <f>VLOOKUP(H114,Lookup_Performance!$A$1:$D$6,4)</f>
        <v>0.05</v>
      </c>
      <c r="K114" t="str">
        <f>PROPER(TRIM(Raw_Employee_Data!H113:H270))</f>
        <v>Active</v>
      </c>
      <c r="L114" s="6">
        <f>Table1[[#This Row],[Salary]]*Table1[[#This Row],[Bonus_Percentage]]</f>
        <v>5900.4000000000005</v>
      </c>
    </row>
    <row r="115" spans="1:12" x14ac:dyDescent="0.25">
      <c r="A115" t="s">
        <v>228</v>
      </c>
      <c r="B115" t="str">
        <f>CONCATENATE(Raw_Employee_Data!B115," ",Raw_Employee_Data!C115)</f>
        <v>Thomas Jones</v>
      </c>
      <c r="C115" t="str">
        <f>UPPER(TRIM(Raw_Employee_Data!D114:D271))</f>
        <v>OPS06</v>
      </c>
      <c r="D115" t="str">
        <f>VLOOKUP(C115,Lookup_Departments!$A$1:$B$7,2,)</f>
        <v>Operations</v>
      </c>
      <c r="E115" s="5">
        <v>42650</v>
      </c>
      <c r="F115" s="4">
        <f t="shared" ca="1" si="1"/>
        <v>9.7472222222222218</v>
      </c>
      <c r="G115" s="6">
        <v>74370</v>
      </c>
      <c r="H115">
        <v>82</v>
      </c>
      <c r="I115" t="str">
        <f>VLOOKUP(H115,Lookup_Performance!$A$1:$D$6,3)</f>
        <v>Achieving</v>
      </c>
      <c r="J115" s="7">
        <f>VLOOKUP(H115,Lookup_Performance!$A$1:$D$6,4)</f>
        <v>0.05</v>
      </c>
      <c r="K115" t="str">
        <f>PROPER(TRIM(Raw_Employee_Data!H114:H271))</f>
        <v>Active</v>
      </c>
      <c r="L115" s="6">
        <f>Table1[[#This Row],[Salary]]*Table1[[#This Row],[Bonus_Percentage]]</f>
        <v>3718.5</v>
      </c>
    </row>
    <row r="116" spans="1:12" x14ac:dyDescent="0.25">
      <c r="A116" t="s">
        <v>230</v>
      </c>
      <c r="B116" t="str">
        <f>CONCATENATE(Raw_Employee_Data!B116," ",Raw_Employee_Data!C116)</f>
        <v>Amanda Brown</v>
      </c>
      <c r="C116" t="str">
        <f>UPPER(TRIM(Raw_Employee_Data!D115:D272))</f>
        <v>MKT04</v>
      </c>
      <c r="D116" t="str">
        <f>VLOOKUP(C116,Lookup_Departments!$A$1:$B$7,2,)</f>
        <v>Marketing</v>
      </c>
      <c r="E116" s="5">
        <v>44674</v>
      </c>
      <c r="F116" s="4">
        <f t="shared" ca="1" si="1"/>
        <v>4.2027777777777775</v>
      </c>
      <c r="G116" s="6">
        <v>77819</v>
      </c>
      <c r="H116">
        <v>79</v>
      </c>
      <c r="I116" t="str">
        <f>VLOOKUP(H116,Lookup_Performance!$A$1:$D$6,3)</f>
        <v>Achieving</v>
      </c>
      <c r="J116" s="7">
        <f>VLOOKUP(H116,Lookup_Performance!$A$1:$D$6,4)</f>
        <v>0.05</v>
      </c>
      <c r="K116" t="str">
        <f>PROPER(TRIM(Raw_Employee_Data!H115:H272))</f>
        <v>Active</v>
      </c>
      <c r="L116" s="6">
        <f>Table1[[#This Row],[Salary]]*Table1[[#This Row],[Bonus_Percentage]]</f>
        <v>3890.9500000000003</v>
      </c>
    </row>
    <row r="117" spans="1:12" x14ac:dyDescent="0.25">
      <c r="A117" t="s">
        <v>231</v>
      </c>
      <c r="B117" t="str">
        <f>CONCATENATE(Raw_Employee_Data!B117," ",Raw_Employee_Data!C117)</f>
        <v>Robert Martinez</v>
      </c>
      <c r="C117" t="str">
        <f>UPPER(TRIM(Raw_Employee_Data!D116:D273))</f>
        <v>IT02</v>
      </c>
      <c r="D117" t="str">
        <f>VLOOKUP(C117,Lookup_Departments!$A$1:$B$7,2,)</f>
        <v>Information Technology</v>
      </c>
      <c r="E117" s="5">
        <v>43013</v>
      </c>
      <c r="F117" s="4">
        <f t="shared" ca="1" si="1"/>
        <v>8.7527777777777782</v>
      </c>
      <c r="G117" s="6">
        <v>48748</v>
      </c>
      <c r="H117">
        <v>83</v>
      </c>
      <c r="I117" t="str">
        <f>VLOOKUP(H117,Lookup_Performance!$A$1:$D$6,3)</f>
        <v>Achieving</v>
      </c>
      <c r="J117" s="7">
        <f>VLOOKUP(H117,Lookup_Performance!$A$1:$D$6,4)</f>
        <v>0.05</v>
      </c>
      <c r="K117" t="str">
        <f>PROPER(TRIM(Raw_Employee_Data!H116:H273))</f>
        <v>Active</v>
      </c>
      <c r="L117" s="6">
        <f>Table1[[#This Row],[Salary]]*Table1[[#This Row],[Bonus_Percentage]]</f>
        <v>2437.4</v>
      </c>
    </row>
    <row r="118" spans="1:12" x14ac:dyDescent="0.25">
      <c r="A118" t="s">
        <v>233</v>
      </c>
      <c r="B118" t="str">
        <f>CONCATENATE(Raw_Employee_Data!B118," ",Raw_Employee_Data!C118)</f>
        <v>Thomas Miller</v>
      </c>
      <c r="C118" t="str">
        <f>UPPER(TRIM(Raw_Employee_Data!D117:D274))</f>
        <v>IT02</v>
      </c>
      <c r="D118" t="str">
        <f>VLOOKUP(C118,Lookup_Departments!$A$1:$B$7,2,)</f>
        <v>Information Technology</v>
      </c>
      <c r="E118" s="5">
        <v>43971</v>
      </c>
      <c r="F118" s="4">
        <f t="shared" ca="1" si="1"/>
        <v>6.1277777777777782</v>
      </c>
      <c r="G118" s="6">
        <v>101997</v>
      </c>
      <c r="H118">
        <v>38</v>
      </c>
      <c r="I118" t="str">
        <f>VLOOKUP(H118,Lookup_Performance!$A$1:$D$6,3)</f>
        <v>Needs Improvement</v>
      </c>
      <c r="J118" s="7">
        <f>VLOOKUP(H118,Lookup_Performance!$A$1:$D$6,4)</f>
        <v>0</v>
      </c>
      <c r="K118" t="str">
        <f>PROPER(TRIM(Raw_Employee_Data!H117:H274))</f>
        <v>Active</v>
      </c>
      <c r="L118" s="6">
        <f>Table1[[#This Row],[Salary]]*Table1[[#This Row],[Bonus_Percentage]]</f>
        <v>0</v>
      </c>
    </row>
    <row r="119" spans="1:12" x14ac:dyDescent="0.25">
      <c r="A119" t="s">
        <v>234</v>
      </c>
      <c r="B119" t="str">
        <f>CONCATENATE(Raw_Employee_Data!B119," ",Raw_Employee_Data!C119)</f>
        <v>David Rodriguez</v>
      </c>
      <c r="C119" t="str">
        <f>UPPER(TRIM(Raw_Employee_Data!D118:D275))</f>
        <v>IT02</v>
      </c>
      <c r="D119" t="str">
        <f>VLOOKUP(C119,Lookup_Departments!$A$1:$B$7,2,)</f>
        <v>Information Technology</v>
      </c>
      <c r="E119" s="5">
        <v>45036</v>
      </c>
      <c r="F119" s="4">
        <f t="shared" ca="1" si="1"/>
        <v>3.2111111111111112</v>
      </c>
      <c r="G119" s="6">
        <v>115260</v>
      </c>
      <c r="H119">
        <v>77</v>
      </c>
      <c r="I119" t="str">
        <f>VLOOKUP(H119,Lookup_Performance!$A$1:$D$6,3)</f>
        <v>Achieving</v>
      </c>
      <c r="J119" s="7">
        <f>VLOOKUP(H119,Lookup_Performance!$A$1:$D$6,4)</f>
        <v>0.05</v>
      </c>
      <c r="K119" t="str">
        <f>PROPER(TRIM(Raw_Employee_Data!H118:H275))</f>
        <v>Active</v>
      </c>
      <c r="L119" s="6">
        <f>Table1[[#This Row],[Salary]]*Table1[[#This Row],[Bonus_Percentage]]</f>
        <v>5763</v>
      </c>
    </row>
    <row r="120" spans="1:12" x14ac:dyDescent="0.25">
      <c r="A120" t="s">
        <v>236</v>
      </c>
      <c r="B120" t="str">
        <f>CONCATENATE(Raw_Employee_Data!B120," ",Raw_Employee_Data!C120)</f>
        <v>Jane Miller</v>
      </c>
      <c r="C120" t="str">
        <f>UPPER(TRIM(Raw_Employee_Data!D119:D276))</f>
        <v>MKT04</v>
      </c>
      <c r="D120" t="str">
        <f>VLOOKUP(C120,Lookup_Departments!$A$1:$B$7,2,)</f>
        <v>Marketing</v>
      </c>
      <c r="E120" s="5">
        <v>44500</v>
      </c>
      <c r="F120" s="4">
        <f t="shared" ca="1" si="1"/>
        <v>4.6833333333333336</v>
      </c>
      <c r="G120" s="6">
        <v>83604</v>
      </c>
      <c r="H120">
        <v>49</v>
      </c>
      <c r="I120" t="str">
        <f>VLOOKUP(H120,Lookup_Performance!$A$1:$D$6,3)</f>
        <v>Needs Improvement</v>
      </c>
      <c r="J120" s="7">
        <f>VLOOKUP(H120,Lookup_Performance!$A$1:$D$6,4)</f>
        <v>0</v>
      </c>
      <c r="K120" t="str">
        <f>PROPER(TRIM(Raw_Employee_Data!H119:H276))</f>
        <v>Active</v>
      </c>
      <c r="L120" s="6">
        <f>Table1[[#This Row],[Salary]]*Table1[[#This Row],[Bonus_Percentage]]</f>
        <v>0</v>
      </c>
    </row>
    <row r="121" spans="1:12" x14ac:dyDescent="0.25">
      <c r="A121" t="s">
        <v>237</v>
      </c>
      <c r="B121" t="str">
        <f>CONCATENATE(Raw_Employee_Data!B121," ",Raw_Employee_Data!C121)</f>
        <v>James Rodriguez</v>
      </c>
      <c r="C121" t="str">
        <f>UPPER(TRIM(Raw_Employee_Data!D120:D277))</f>
        <v>OPS06</v>
      </c>
      <c r="D121" t="str">
        <f>VLOOKUP(C121,Lookup_Departments!$A$1:$B$7,2,)</f>
        <v>Operations</v>
      </c>
      <c r="E121" s="5">
        <v>44493</v>
      </c>
      <c r="F121" s="4">
        <f t="shared" ca="1" si="1"/>
        <v>4.7</v>
      </c>
      <c r="G121" s="6">
        <v>83604</v>
      </c>
      <c r="H121">
        <v>69</v>
      </c>
      <c r="I121" t="str">
        <f>VLOOKUP(H121,Lookup_Performance!$A$1:$D$6,3)</f>
        <v>Developing</v>
      </c>
      <c r="J121" s="7">
        <f>VLOOKUP(H121,Lookup_Performance!$A$1:$D$6,4)</f>
        <v>0.02</v>
      </c>
      <c r="K121" t="str">
        <f>PROPER(TRIM(Raw_Employee_Data!H120:H277))</f>
        <v>Resigned</v>
      </c>
      <c r="L121" s="6">
        <f>Table1[[#This Row],[Salary]]*Table1[[#This Row],[Bonus_Percentage]]</f>
        <v>1672.08</v>
      </c>
    </row>
    <row r="122" spans="1:12" x14ac:dyDescent="0.25">
      <c r="A122" t="s">
        <v>239</v>
      </c>
      <c r="B122" t="str">
        <f>CONCATENATE(Raw_Employee_Data!B122," ",Raw_Employee_Data!C122)</f>
        <v>Sarah Rodriguez</v>
      </c>
      <c r="C122" t="str">
        <f>UPPER(TRIM(Raw_Employee_Data!D121:D278))</f>
        <v>HR01</v>
      </c>
      <c r="D122" t="str">
        <f>VLOOKUP(C122,Lookup_Departments!$A$1:$B$7,2,)</f>
        <v>Human Resources</v>
      </c>
      <c r="E122" s="5">
        <v>42956</v>
      </c>
      <c r="F122" s="4">
        <f t="shared" ca="1" si="1"/>
        <v>8.9083333333333332</v>
      </c>
      <c r="G122" s="6">
        <v>83604</v>
      </c>
      <c r="H122">
        <v>76</v>
      </c>
      <c r="I122" t="str">
        <f>VLOOKUP(H122,Lookup_Performance!$A$1:$D$6,3)</f>
        <v>Achieving</v>
      </c>
      <c r="J122" s="7">
        <f>VLOOKUP(H122,Lookup_Performance!$A$1:$D$6,4)</f>
        <v>0.05</v>
      </c>
      <c r="K122" t="str">
        <f>PROPER(TRIM(Raw_Employee_Data!H121:H278))</f>
        <v>Active</v>
      </c>
      <c r="L122" s="6">
        <f>Table1[[#This Row],[Salary]]*Table1[[#This Row],[Bonus_Percentage]]</f>
        <v>4180.2</v>
      </c>
    </row>
    <row r="123" spans="1:12" x14ac:dyDescent="0.25">
      <c r="A123" t="s">
        <v>240</v>
      </c>
      <c r="B123" t="str">
        <f>CONCATENATE(Raw_Employee_Data!B123," ",Raw_Employee_Data!C123)</f>
        <v>Sarah Wilson</v>
      </c>
      <c r="C123" t="str">
        <f>UPPER(TRIM(Raw_Employee_Data!D122:D279))</f>
        <v>SAL05</v>
      </c>
      <c r="D123" t="str">
        <f>VLOOKUP(C123,Lookup_Departments!$A$1:$B$7,2,)</f>
        <v>Sales</v>
      </c>
      <c r="E123" s="5">
        <v>44930</v>
      </c>
      <c r="F123" s="4">
        <f t="shared" ca="1" si="1"/>
        <v>3.5055555555555555</v>
      </c>
      <c r="G123" s="6">
        <v>60623</v>
      </c>
      <c r="H123">
        <v>78</v>
      </c>
      <c r="I123" t="str">
        <f>VLOOKUP(H123,Lookup_Performance!$A$1:$D$6,3)</f>
        <v>Achieving</v>
      </c>
      <c r="J123" s="7">
        <f>VLOOKUP(H123,Lookup_Performance!$A$1:$D$6,4)</f>
        <v>0.05</v>
      </c>
      <c r="K123" t="str">
        <f>PROPER(TRIM(Raw_Employee_Data!H122:H279))</f>
        <v>Active</v>
      </c>
      <c r="L123" s="6">
        <f>Table1[[#This Row],[Salary]]*Table1[[#This Row],[Bonus_Percentage]]</f>
        <v>3031.15</v>
      </c>
    </row>
    <row r="124" spans="1:12" x14ac:dyDescent="0.25">
      <c r="A124" t="s">
        <v>241</v>
      </c>
      <c r="B124" t="str">
        <f>CONCATENATE(Raw_Employee_Data!B124," ",Raw_Employee_Data!C124)</f>
        <v>Melissa Brown</v>
      </c>
      <c r="C124" t="str">
        <f>UPPER(TRIM(Raw_Employee_Data!D123:D280))</f>
        <v>IT02</v>
      </c>
      <c r="D124" t="str">
        <f>VLOOKUP(C124,Lookup_Departments!$A$1:$B$7,2,)</f>
        <v>Information Technology</v>
      </c>
      <c r="E124" s="5">
        <v>44053</v>
      </c>
      <c r="F124" s="4">
        <f t="shared" ca="1" si="1"/>
        <v>5.9055555555555559</v>
      </c>
      <c r="G124" s="6">
        <v>68092</v>
      </c>
      <c r="H124">
        <v>93</v>
      </c>
      <c r="I124" t="str">
        <f>VLOOKUP(H124,Lookup_Performance!$A$1:$D$6,3)</f>
        <v>Exceeding</v>
      </c>
      <c r="J124" s="7">
        <f>VLOOKUP(H124,Lookup_Performance!$A$1:$D$6,4)</f>
        <v>0.08</v>
      </c>
      <c r="K124" t="str">
        <f>PROPER(TRIM(Raw_Employee_Data!H123:H280))</f>
        <v>Left</v>
      </c>
      <c r="L124" s="6">
        <f>Table1[[#This Row],[Salary]]*Table1[[#This Row],[Bonus_Percentage]]</f>
        <v>5447.36</v>
      </c>
    </row>
    <row r="125" spans="1:12" x14ac:dyDescent="0.25">
      <c r="A125" t="s">
        <v>244</v>
      </c>
      <c r="B125" t="str">
        <f>CONCATENATE(Raw_Employee_Data!B125," ",Raw_Employee_Data!C125)</f>
        <v>Robert Williams</v>
      </c>
      <c r="C125" t="str">
        <f>UPPER(TRIM(Raw_Employee_Data!D124:D281))</f>
        <v>SAL05</v>
      </c>
      <c r="D125" t="str">
        <f>VLOOKUP(C125,Lookup_Departments!$A$1:$B$7,2,)</f>
        <v>Sales</v>
      </c>
      <c r="E125" s="5">
        <v>44653</v>
      </c>
      <c r="F125" s="4">
        <f t="shared" ca="1" si="1"/>
        <v>4.2611111111111111</v>
      </c>
      <c r="G125" s="6">
        <v>88155</v>
      </c>
      <c r="H125">
        <v>68</v>
      </c>
      <c r="I125" t="str">
        <f>VLOOKUP(H125,Lookup_Performance!$A$1:$D$6,3)</f>
        <v>Developing</v>
      </c>
      <c r="J125" s="7">
        <f>VLOOKUP(H125,Lookup_Performance!$A$1:$D$6,4)</f>
        <v>0.02</v>
      </c>
      <c r="K125" t="str">
        <f>PROPER(TRIM(Raw_Employee_Data!H124:H281))</f>
        <v>Active</v>
      </c>
      <c r="L125" s="6">
        <f>Table1[[#This Row],[Salary]]*Table1[[#This Row],[Bonus_Percentage]]</f>
        <v>1763.1000000000001</v>
      </c>
    </row>
    <row r="126" spans="1:12" x14ac:dyDescent="0.25">
      <c r="A126" t="s">
        <v>245</v>
      </c>
      <c r="B126" t="str">
        <f>CONCATENATE(Raw_Employee_Data!B126," ",Raw_Employee_Data!C126)</f>
        <v>Melissa Rodriguez</v>
      </c>
      <c r="C126" t="str">
        <f>UPPER(TRIM(Raw_Employee_Data!D125:D282))</f>
        <v>OPS06</v>
      </c>
      <c r="D126" t="str">
        <f>VLOOKUP(C126,Lookup_Departments!$A$1:$B$7,2,)</f>
        <v>Operations</v>
      </c>
      <c r="E126" s="5">
        <v>43183</v>
      </c>
      <c r="F126" s="4">
        <f t="shared" ca="1" si="1"/>
        <v>8.2833333333333332</v>
      </c>
      <c r="G126" s="6">
        <v>107903</v>
      </c>
      <c r="H126">
        <v>42</v>
      </c>
      <c r="I126" t="str">
        <f>VLOOKUP(H126,Lookup_Performance!$A$1:$D$6,3)</f>
        <v>Needs Improvement</v>
      </c>
      <c r="J126" s="7">
        <f>VLOOKUP(H126,Lookup_Performance!$A$1:$D$6,4)</f>
        <v>0</v>
      </c>
      <c r="K126" t="str">
        <f>PROPER(TRIM(Raw_Employee_Data!H125:H282))</f>
        <v>Active</v>
      </c>
      <c r="L126" s="6">
        <f>Table1[[#This Row],[Salary]]*Table1[[#This Row],[Bonus_Percentage]]</f>
        <v>0</v>
      </c>
    </row>
    <row r="127" spans="1:12" x14ac:dyDescent="0.25">
      <c r="A127" t="s">
        <v>247</v>
      </c>
      <c r="B127" t="str">
        <f>CONCATENATE(Raw_Employee_Data!B127," ",Raw_Employee_Data!C127)</f>
        <v>James Johnson</v>
      </c>
      <c r="C127" t="str">
        <f>UPPER(TRIM(Raw_Employee_Data!D126:D283))</f>
        <v>HR01</v>
      </c>
      <c r="D127" t="str">
        <f>VLOOKUP(C127,Lookup_Departments!$A$1:$B$7,2,)</f>
        <v>Human Resources</v>
      </c>
      <c r="E127" s="5">
        <v>43305</v>
      </c>
      <c r="F127" s="4">
        <f t="shared" ca="1" si="1"/>
        <v>7.95</v>
      </c>
      <c r="G127" s="6">
        <v>62818</v>
      </c>
      <c r="H127">
        <v>34</v>
      </c>
      <c r="I127" t="str">
        <f>VLOOKUP(H127,Lookup_Performance!$A$1:$D$6,3)</f>
        <v>Needs Improvement</v>
      </c>
      <c r="J127" s="7">
        <f>VLOOKUP(H127,Lookup_Performance!$A$1:$D$6,4)</f>
        <v>0</v>
      </c>
      <c r="K127" t="str">
        <f>PROPER(TRIM(Raw_Employee_Data!H126:H283))</f>
        <v>Active</v>
      </c>
      <c r="L127" s="6">
        <f>Table1[[#This Row],[Salary]]*Table1[[#This Row],[Bonus_Percentage]]</f>
        <v>0</v>
      </c>
    </row>
    <row r="128" spans="1:12" x14ac:dyDescent="0.25">
      <c r="A128" t="s">
        <v>248</v>
      </c>
      <c r="B128" t="str">
        <f>CONCATENATE(Raw_Employee_Data!B128," ",Raw_Employee_Data!C128)</f>
        <v>Michael Wilson</v>
      </c>
      <c r="C128" t="str">
        <f>UPPER(TRIM(Raw_Employee_Data!D127:D284))</f>
        <v>MKT04</v>
      </c>
      <c r="D128" t="str">
        <f>VLOOKUP(C128,Lookup_Departments!$A$1:$B$7,2,)</f>
        <v>Marketing</v>
      </c>
      <c r="E128" s="5">
        <v>43301</v>
      </c>
      <c r="F128" s="4">
        <f t="shared" ca="1" si="1"/>
        <v>7.9611111111111112</v>
      </c>
      <c r="G128" s="6">
        <v>85151</v>
      </c>
      <c r="H128">
        <v>35</v>
      </c>
      <c r="I128" t="str">
        <f>VLOOKUP(H128,Lookup_Performance!$A$1:$D$6,3)</f>
        <v>Needs Improvement</v>
      </c>
      <c r="J128" s="7">
        <f>VLOOKUP(H128,Lookup_Performance!$A$1:$D$6,4)</f>
        <v>0</v>
      </c>
      <c r="K128" t="str">
        <f>PROPER(TRIM(Raw_Employee_Data!H127:H284))</f>
        <v>Active</v>
      </c>
      <c r="L128" s="6">
        <f>Table1[[#This Row],[Salary]]*Table1[[#This Row],[Bonus_Percentage]]</f>
        <v>0</v>
      </c>
    </row>
    <row r="129" spans="1:12" x14ac:dyDescent="0.25">
      <c r="A129" t="s">
        <v>249</v>
      </c>
      <c r="B129" t="str">
        <f>CONCATENATE(Raw_Employee_Data!B129," ",Raw_Employee_Data!C129)</f>
        <v>William Jones</v>
      </c>
      <c r="C129" t="str">
        <f>UPPER(TRIM(Raw_Employee_Data!D128:D285))</f>
        <v>MKT04</v>
      </c>
      <c r="D129" t="str">
        <f>VLOOKUP(C129,Lookup_Departments!$A$1:$B$7,2,)</f>
        <v>Marketing</v>
      </c>
      <c r="E129" s="5">
        <v>42433</v>
      </c>
      <c r="F129" s="4">
        <f t="shared" ca="1" si="1"/>
        <v>10.338888888888889</v>
      </c>
      <c r="G129" s="6">
        <v>46390</v>
      </c>
      <c r="H129">
        <v>95</v>
      </c>
      <c r="I129" t="str">
        <f>VLOOKUP(H129,Lookup_Performance!$A$1:$D$6,3)</f>
        <v>Outstanding</v>
      </c>
      <c r="J129" s="7">
        <f>VLOOKUP(H129,Lookup_Performance!$A$1:$D$6,4)</f>
        <v>0.12</v>
      </c>
      <c r="K129" t="str">
        <f>PROPER(TRIM(Raw_Employee_Data!H128:H285))</f>
        <v>Active</v>
      </c>
      <c r="L129" s="6">
        <f>Table1[[#This Row],[Salary]]*Table1[[#This Row],[Bonus_Percentage]]</f>
        <v>5566.8</v>
      </c>
    </row>
    <row r="130" spans="1:12" x14ac:dyDescent="0.25">
      <c r="A130" t="s">
        <v>251</v>
      </c>
      <c r="B130" t="str">
        <f>CONCATENATE(Raw_Employee_Data!B130," ",Raw_Employee_Data!C130)</f>
        <v>William Williams</v>
      </c>
      <c r="C130" t="str">
        <f>UPPER(TRIM(Raw_Employee_Data!D129:D286))</f>
        <v>IT02</v>
      </c>
      <c r="D130" t="str">
        <f>VLOOKUP(C130,Lookup_Departments!$A$1:$B$7,2,)</f>
        <v>Information Technology</v>
      </c>
      <c r="E130" s="5">
        <v>44643</v>
      </c>
      <c r="F130" s="4">
        <f t="shared" ca="1" si="1"/>
        <v>4.2861111111111114</v>
      </c>
      <c r="G130" s="6">
        <v>111920</v>
      </c>
      <c r="H130">
        <v>90</v>
      </c>
      <c r="I130" t="str">
        <f>VLOOKUP(H130,Lookup_Performance!$A$1:$D$6,3)</f>
        <v>Exceeding</v>
      </c>
      <c r="J130" s="7">
        <f>VLOOKUP(H130,Lookup_Performance!$A$1:$D$6,4)</f>
        <v>0.08</v>
      </c>
      <c r="K130" t="str">
        <f>PROPER(TRIM(Raw_Employee_Data!H129:H286))</f>
        <v>Active</v>
      </c>
      <c r="L130" s="6">
        <f>Table1[[#This Row],[Salary]]*Table1[[#This Row],[Bonus_Percentage]]</f>
        <v>8953.6</v>
      </c>
    </row>
    <row r="131" spans="1:12" x14ac:dyDescent="0.25">
      <c r="A131" t="s">
        <v>252</v>
      </c>
      <c r="B131" t="str">
        <f>CONCATENATE(Raw_Employee_Data!B131," ",Raw_Employee_Data!C131)</f>
        <v>David Williams</v>
      </c>
      <c r="C131" t="str">
        <f>UPPER(TRIM(Raw_Employee_Data!D130:D287))</f>
        <v>HR01</v>
      </c>
      <c r="D131" t="str">
        <f>VLOOKUP(C131,Lookup_Departments!$A$1:$B$7,2,)</f>
        <v>Human Resources</v>
      </c>
      <c r="E131" s="5">
        <v>42944</v>
      </c>
      <c r="F131" s="4">
        <f t="shared" ref="F131:F151" ca="1" si="2">YEARFRAC(E131,TODAY())</f>
        <v>8.9388888888888882</v>
      </c>
      <c r="G131" s="6">
        <v>115618</v>
      </c>
      <c r="H131">
        <v>42</v>
      </c>
      <c r="I131" t="str">
        <f>VLOOKUP(H131,Lookup_Performance!$A$1:$D$6,3)</f>
        <v>Needs Improvement</v>
      </c>
      <c r="J131" s="7">
        <f>VLOOKUP(H131,Lookup_Performance!$A$1:$D$6,4)</f>
        <v>0</v>
      </c>
      <c r="K131" t="str">
        <f>PROPER(TRIM(Raw_Employee_Data!H130:H287))</f>
        <v>Active</v>
      </c>
      <c r="L131" s="6">
        <f>Table1[[#This Row],[Salary]]*Table1[[#This Row],[Bonus_Percentage]]</f>
        <v>0</v>
      </c>
    </row>
    <row r="132" spans="1:12" x14ac:dyDescent="0.25">
      <c r="A132" t="s">
        <v>255</v>
      </c>
      <c r="B132" t="str">
        <f>CONCATENATE(Raw_Employee_Data!B132," ",Raw_Employee_Data!C132)</f>
        <v>Jane Davis</v>
      </c>
      <c r="C132" t="str">
        <f>UPPER(TRIM(Raw_Employee_Data!D131:D288))</f>
        <v>FIN03</v>
      </c>
      <c r="D132" t="str">
        <f>VLOOKUP(C132,Lookup_Departments!$A$1:$B$7,2,)</f>
        <v>Finance</v>
      </c>
      <c r="E132" s="5">
        <v>45235</v>
      </c>
      <c r="F132" s="4">
        <f t="shared" ca="1" si="2"/>
        <v>2.6694444444444443</v>
      </c>
      <c r="G132" s="6">
        <v>110618</v>
      </c>
      <c r="H132">
        <v>88</v>
      </c>
      <c r="I132" t="str">
        <f>VLOOKUP(H132,Lookup_Performance!$A$1:$D$6,3)</f>
        <v>Exceeding</v>
      </c>
      <c r="J132" s="7">
        <f>VLOOKUP(H132,Lookup_Performance!$A$1:$D$6,4)</f>
        <v>0.08</v>
      </c>
      <c r="K132" t="str">
        <f>PROPER(TRIM(Raw_Employee_Data!H131:H288))</f>
        <v>Active</v>
      </c>
      <c r="L132" s="6">
        <f>Table1[[#This Row],[Salary]]*Table1[[#This Row],[Bonus_Percentage]]</f>
        <v>8849.44</v>
      </c>
    </row>
    <row r="133" spans="1:12" x14ac:dyDescent="0.25">
      <c r="A133" t="s">
        <v>258</v>
      </c>
      <c r="B133" t="str">
        <f>CONCATENATE(Raw_Employee_Data!B133," ",Raw_Employee_Data!C133)</f>
        <v>Jessica Garcia</v>
      </c>
      <c r="C133" t="str">
        <f>UPPER(TRIM(Raw_Employee_Data!D132:D289))</f>
        <v>OPS06</v>
      </c>
      <c r="D133" t="str">
        <f>VLOOKUP(C133,Lookup_Departments!$A$1:$B$7,2,)</f>
        <v>Operations</v>
      </c>
      <c r="E133" s="5">
        <v>44639</v>
      </c>
      <c r="F133" s="4">
        <f t="shared" ca="1" si="2"/>
        <v>4.2972222222222225</v>
      </c>
      <c r="G133" s="6">
        <v>108395</v>
      </c>
      <c r="H133">
        <v>78</v>
      </c>
      <c r="I133" t="str">
        <f>VLOOKUP(H133,Lookup_Performance!$A$1:$D$6,3)</f>
        <v>Achieving</v>
      </c>
      <c r="J133" s="7">
        <f>VLOOKUP(H133,Lookup_Performance!$A$1:$D$6,4)</f>
        <v>0.05</v>
      </c>
      <c r="K133" t="str">
        <f>PROPER(TRIM(Raw_Employee_Data!H132:H289))</f>
        <v>Active</v>
      </c>
      <c r="L133" s="6">
        <f>Table1[[#This Row],[Salary]]*Table1[[#This Row],[Bonus_Percentage]]</f>
        <v>5419.75</v>
      </c>
    </row>
    <row r="134" spans="1:12" x14ac:dyDescent="0.25">
      <c r="A134" t="s">
        <v>260</v>
      </c>
      <c r="B134" t="str">
        <f>CONCATENATE(Raw_Employee_Data!B134," ",Raw_Employee_Data!C134)</f>
        <v>John Martinez</v>
      </c>
      <c r="C134" t="str">
        <f>UPPER(TRIM(Raw_Employee_Data!D133:D290))</f>
        <v>HR01</v>
      </c>
      <c r="D134" t="str">
        <f>VLOOKUP(C134,Lookup_Departments!$A$1:$B$7,2,)</f>
        <v>Human Resources</v>
      </c>
      <c r="E134" s="5">
        <v>43091</v>
      </c>
      <c r="F134" s="4">
        <f t="shared" ca="1" si="2"/>
        <v>8.5388888888888896</v>
      </c>
      <c r="G134" s="6">
        <v>88005</v>
      </c>
      <c r="H134">
        <v>69</v>
      </c>
      <c r="I134" t="str">
        <f>VLOOKUP(H134,Lookup_Performance!$A$1:$D$6,3)</f>
        <v>Developing</v>
      </c>
      <c r="J134" s="7">
        <f>VLOOKUP(H134,Lookup_Performance!$A$1:$D$6,4)</f>
        <v>0.02</v>
      </c>
      <c r="K134" t="str">
        <f>PROPER(TRIM(Raw_Employee_Data!H133:H290))</f>
        <v>Left</v>
      </c>
      <c r="L134" s="6">
        <f>Table1[[#This Row],[Salary]]*Table1[[#This Row],[Bonus_Percentage]]</f>
        <v>1760.1000000000001</v>
      </c>
    </row>
    <row r="135" spans="1:12" x14ac:dyDescent="0.25">
      <c r="A135" t="s">
        <v>261</v>
      </c>
      <c r="B135" t="str">
        <f>CONCATENATE(Raw_Employee_Data!B135," ",Raw_Employee_Data!C135)</f>
        <v>David Anderson</v>
      </c>
      <c r="C135" t="str">
        <f>UPPER(TRIM(Raw_Employee_Data!D134:D291))</f>
        <v>HR01</v>
      </c>
      <c r="D135" t="str">
        <f>VLOOKUP(C135,Lookup_Departments!$A$1:$B$7,2,)</f>
        <v>Human Resources</v>
      </c>
      <c r="E135" s="5">
        <v>44437</v>
      </c>
      <c r="F135" s="4">
        <f t="shared" ca="1" si="2"/>
        <v>4.8527777777777779</v>
      </c>
      <c r="G135" s="6">
        <v>83007</v>
      </c>
      <c r="H135">
        <v>82</v>
      </c>
      <c r="I135" t="str">
        <f>VLOOKUP(H135,Lookup_Performance!$A$1:$D$6,3)</f>
        <v>Achieving</v>
      </c>
      <c r="J135" s="7">
        <f>VLOOKUP(H135,Lookup_Performance!$A$1:$D$6,4)</f>
        <v>0.05</v>
      </c>
      <c r="K135" t="str">
        <f>PROPER(TRIM(Raw_Employee_Data!H134:H291))</f>
        <v>Active</v>
      </c>
      <c r="L135" s="6">
        <f>Table1[[#This Row],[Salary]]*Table1[[#This Row],[Bonus_Percentage]]</f>
        <v>4150.3500000000004</v>
      </c>
    </row>
    <row r="136" spans="1:12" x14ac:dyDescent="0.25">
      <c r="A136" t="s">
        <v>263</v>
      </c>
      <c r="B136" t="str">
        <f>CONCATENATE(Raw_Employee_Data!B136," ",Raw_Employee_Data!C136)</f>
        <v>Sarah Smith</v>
      </c>
      <c r="C136" t="str">
        <f>UPPER(TRIM(Raw_Employee_Data!D135:D292))</f>
        <v>SAL05</v>
      </c>
      <c r="D136" t="str">
        <f>VLOOKUP(C136,Lookup_Departments!$A$1:$B$7,2,)</f>
        <v>Sales</v>
      </c>
      <c r="E136" s="5">
        <v>43360</v>
      </c>
      <c r="F136" s="4">
        <f t="shared" ca="1" si="2"/>
        <v>7.802777777777778</v>
      </c>
      <c r="G136" s="6">
        <v>61547</v>
      </c>
      <c r="H136">
        <v>68</v>
      </c>
      <c r="I136" t="str">
        <f>VLOOKUP(H136,Lookup_Performance!$A$1:$D$6,3)</f>
        <v>Developing</v>
      </c>
      <c r="J136" s="7">
        <f>VLOOKUP(H136,Lookup_Performance!$A$1:$D$6,4)</f>
        <v>0.02</v>
      </c>
      <c r="K136" t="str">
        <f>PROPER(TRIM(Raw_Employee_Data!H135:H292))</f>
        <v>Resigned</v>
      </c>
      <c r="L136" s="6">
        <f>Table1[[#This Row],[Salary]]*Table1[[#This Row],[Bonus_Percentage]]</f>
        <v>1230.94</v>
      </c>
    </row>
    <row r="137" spans="1:12" x14ac:dyDescent="0.25">
      <c r="A137" t="s">
        <v>265</v>
      </c>
      <c r="B137" t="str">
        <f>CONCATENATE(Raw_Employee_Data!B137," ",Raw_Employee_Data!C137)</f>
        <v>Melissa Hernandez</v>
      </c>
      <c r="C137" t="str">
        <f>UPPER(TRIM(Raw_Employee_Data!D136:D293))</f>
        <v>OPS06</v>
      </c>
      <c r="D137" t="str">
        <f>VLOOKUP(C137,Lookup_Departments!$A$1:$B$7,2,)</f>
        <v>Operations</v>
      </c>
      <c r="E137" s="5">
        <v>44375</v>
      </c>
      <c r="F137" s="4">
        <f t="shared" ca="1" si="2"/>
        <v>5.0222222222222221</v>
      </c>
      <c r="G137" s="6">
        <v>83604</v>
      </c>
      <c r="H137">
        <v>52</v>
      </c>
      <c r="I137" t="str">
        <f>VLOOKUP(H137,Lookup_Performance!$A$1:$D$6,3)</f>
        <v>Developing</v>
      </c>
      <c r="J137" s="7">
        <f>VLOOKUP(H137,Lookup_Performance!$A$1:$D$6,4)</f>
        <v>0.02</v>
      </c>
      <c r="K137" t="str">
        <f>PROPER(TRIM(Raw_Employee_Data!H136:H293))</f>
        <v>Left</v>
      </c>
      <c r="L137" s="6">
        <f>Table1[[#This Row],[Salary]]*Table1[[#This Row],[Bonus_Percentage]]</f>
        <v>1672.08</v>
      </c>
    </row>
    <row r="138" spans="1:12" x14ac:dyDescent="0.25">
      <c r="A138" t="s">
        <v>266</v>
      </c>
      <c r="B138" t="str">
        <f>CONCATENATE(Raw_Employee_Data!B138," ",Raw_Employee_Data!C138)</f>
        <v>Melissa Johnson</v>
      </c>
      <c r="C138" t="str">
        <f>UPPER(TRIM(Raw_Employee_Data!D137:D294))</f>
        <v>FIN03</v>
      </c>
      <c r="D138" t="str">
        <f>VLOOKUP(C138,Lookup_Departments!$A$1:$B$7,2,)</f>
        <v>Finance</v>
      </c>
      <c r="E138" s="5">
        <v>43011</v>
      </c>
      <c r="F138" s="4">
        <f t="shared" ca="1" si="2"/>
        <v>8.7583333333333329</v>
      </c>
      <c r="G138" s="6">
        <v>50399</v>
      </c>
      <c r="H138">
        <v>92</v>
      </c>
      <c r="I138" t="str">
        <f>VLOOKUP(H138,Lookup_Performance!$A$1:$D$6,3)</f>
        <v>Exceeding</v>
      </c>
      <c r="J138" s="7">
        <f>VLOOKUP(H138,Lookup_Performance!$A$1:$D$6,4)</f>
        <v>0.08</v>
      </c>
      <c r="K138" t="str">
        <f>PROPER(TRIM(Raw_Employee_Data!H137:H294))</f>
        <v>Active</v>
      </c>
      <c r="L138" s="6">
        <f>Table1[[#This Row],[Salary]]*Table1[[#This Row],[Bonus_Percentage]]</f>
        <v>4031.92</v>
      </c>
    </row>
    <row r="139" spans="1:12" x14ac:dyDescent="0.25">
      <c r="A139" t="s">
        <v>268</v>
      </c>
      <c r="B139" t="str">
        <f>CONCATENATE(Raw_Employee_Data!B139," ",Raw_Employee_Data!C139)</f>
        <v>Michael Wilson</v>
      </c>
      <c r="C139" t="str">
        <f>UPPER(TRIM(Raw_Employee_Data!D138:D295))</f>
        <v>FIN03</v>
      </c>
      <c r="D139" t="str">
        <f>VLOOKUP(C139,Lookup_Departments!$A$1:$B$7,2,)</f>
        <v>Finance</v>
      </c>
      <c r="E139" s="5">
        <v>42299</v>
      </c>
      <c r="F139" s="4">
        <f t="shared" ca="1" si="2"/>
        <v>10.705555555555556</v>
      </c>
      <c r="G139" s="6">
        <v>83604</v>
      </c>
      <c r="H139">
        <v>62</v>
      </c>
      <c r="I139" t="str">
        <f>VLOOKUP(H139,Lookup_Performance!$A$1:$D$6,3)</f>
        <v>Developing</v>
      </c>
      <c r="J139" s="7">
        <f>VLOOKUP(H139,Lookup_Performance!$A$1:$D$6,4)</f>
        <v>0.02</v>
      </c>
      <c r="K139" t="str">
        <f>PROPER(TRIM(Raw_Employee_Data!H138:H295))</f>
        <v>Active</v>
      </c>
      <c r="L139" s="6">
        <f>Table1[[#This Row],[Salary]]*Table1[[#This Row],[Bonus_Percentage]]</f>
        <v>1672.08</v>
      </c>
    </row>
    <row r="140" spans="1:12" x14ac:dyDescent="0.25">
      <c r="A140" t="s">
        <v>270</v>
      </c>
      <c r="B140" t="str">
        <f>CONCATENATE(Raw_Employee_Data!B140," ",Raw_Employee_Data!C140)</f>
        <v>Jane Garcia</v>
      </c>
      <c r="C140" t="str">
        <f>UPPER(TRIM(Raw_Employee_Data!D139:D296))</f>
        <v>MKT04</v>
      </c>
      <c r="D140" t="str">
        <f>VLOOKUP(C140,Lookup_Departments!$A$1:$B$7,2,)</f>
        <v>Marketing</v>
      </c>
      <c r="E140" s="5">
        <v>43257</v>
      </c>
      <c r="F140" s="4">
        <f t="shared" ca="1" si="2"/>
        <v>8.0833333333333339</v>
      </c>
      <c r="G140" s="6">
        <v>52720</v>
      </c>
      <c r="H140">
        <v>68</v>
      </c>
      <c r="I140" t="str">
        <f>VLOOKUP(H140,Lookup_Performance!$A$1:$D$6,3)</f>
        <v>Developing</v>
      </c>
      <c r="J140" s="7">
        <f>VLOOKUP(H140,Lookup_Performance!$A$1:$D$6,4)</f>
        <v>0.02</v>
      </c>
      <c r="K140" t="str">
        <f>PROPER(TRIM(Raw_Employee_Data!H139:H296))</f>
        <v>Active</v>
      </c>
      <c r="L140" s="6">
        <f>Table1[[#This Row],[Salary]]*Table1[[#This Row],[Bonus_Percentage]]</f>
        <v>1054.4000000000001</v>
      </c>
    </row>
    <row r="141" spans="1:12" x14ac:dyDescent="0.25">
      <c r="A141" t="s">
        <v>271</v>
      </c>
      <c r="B141" t="str">
        <f>CONCATENATE(Raw_Employee_Data!B141," ",Raw_Employee_Data!C141)</f>
        <v>David Davis</v>
      </c>
      <c r="C141" t="str">
        <f>UPPER(TRIM(Raw_Employee_Data!D140:D297))</f>
        <v>IT02</v>
      </c>
      <c r="D141" t="str">
        <f>VLOOKUP(C141,Lookup_Departments!$A$1:$B$7,2,)</f>
        <v>Information Technology</v>
      </c>
      <c r="E141" s="5">
        <v>42932</v>
      </c>
      <c r="F141" s="4">
        <f t="shared" ca="1" si="2"/>
        <v>8.9722222222222214</v>
      </c>
      <c r="G141" s="6">
        <v>65065</v>
      </c>
      <c r="H141">
        <v>98</v>
      </c>
      <c r="I141" t="str">
        <f>VLOOKUP(H141,Lookup_Performance!$A$1:$D$6,3)</f>
        <v>Outstanding</v>
      </c>
      <c r="J141" s="7">
        <f>VLOOKUP(H141,Lookup_Performance!$A$1:$D$6,4)</f>
        <v>0.12</v>
      </c>
      <c r="K141" t="str">
        <f>PROPER(TRIM(Raw_Employee_Data!H140:H297))</f>
        <v>Active</v>
      </c>
      <c r="L141" s="6">
        <f>Table1[[#This Row],[Salary]]*Table1[[#This Row],[Bonus_Percentage]]</f>
        <v>7807.7999999999993</v>
      </c>
    </row>
    <row r="142" spans="1:12" x14ac:dyDescent="0.25">
      <c r="A142" t="s">
        <v>272</v>
      </c>
      <c r="B142" t="str">
        <f>CONCATENATE(Raw_Employee_Data!B142," ",Raw_Employee_Data!C142)</f>
        <v>James Wilson</v>
      </c>
      <c r="C142" t="str">
        <f>UPPER(TRIM(Raw_Employee_Data!D141:D298))</f>
        <v>SAL05</v>
      </c>
      <c r="D142" t="str">
        <f>VLOOKUP(C142,Lookup_Departments!$A$1:$B$7,2,)</f>
        <v>Sales</v>
      </c>
      <c r="E142" s="5">
        <v>42175</v>
      </c>
      <c r="F142" s="4">
        <f t="shared" ca="1" si="2"/>
        <v>11.044444444444444</v>
      </c>
      <c r="G142" s="6">
        <v>83604</v>
      </c>
      <c r="H142">
        <v>94</v>
      </c>
      <c r="I142" t="str">
        <f>VLOOKUP(H142,Lookup_Performance!$A$1:$D$6,3)</f>
        <v>Exceeding</v>
      </c>
      <c r="J142" s="7">
        <f>VLOOKUP(H142,Lookup_Performance!$A$1:$D$6,4)</f>
        <v>0.08</v>
      </c>
      <c r="K142" t="str">
        <f>PROPER(TRIM(Raw_Employee_Data!H141:H298))</f>
        <v>Active</v>
      </c>
      <c r="L142" s="6">
        <f>Table1[[#This Row],[Salary]]*Table1[[#This Row],[Bonus_Percentage]]</f>
        <v>6688.32</v>
      </c>
    </row>
    <row r="143" spans="1:12" x14ac:dyDescent="0.25">
      <c r="A143" t="s">
        <v>273</v>
      </c>
      <c r="B143" t="str">
        <f>CONCATENATE(Raw_Employee_Data!B143," ",Raw_Employee_Data!C143)</f>
        <v>Richard Johnson</v>
      </c>
      <c r="C143" t="str">
        <f>UPPER(TRIM(Raw_Employee_Data!D142:D299))</f>
        <v>OPS06</v>
      </c>
      <c r="D143" t="str">
        <f>VLOOKUP(C143,Lookup_Departments!$A$1:$B$7,2,)</f>
        <v>Operations</v>
      </c>
      <c r="E143" s="5">
        <v>43609</v>
      </c>
      <c r="F143" s="4">
        <f t="shared" ca="1" si="2"/>
        <v>7.1166666666666663</v>
      </c>
      <c r="G143" s="6">
        <v>108119</v>
      </c>
      <c r="H143">
        <v>57</v>
      </c>
      <c r="I143" t="str">
        <f>VLOOKUP(H143,Lookup_Performance!$A$1:$D$6,3)</f>
        <v>Developing</v>
      </c>
      <c r="J143" s="7">
        <f>VLOOKUP(H143,Lookup_Performance!$A$1:$D$6,4)</f>
        <v>0.02</v>
      </c>
      <c r="K143" t="str">
        <f>PROPER(TRIM(Raw_Employee_Data!H142:H299))</f>
        <v>Left</v>
      </c>
      <c r="L143" s="6">
        <f>Table1[[#This Row],[Salary]]*Table1[[#This Row],[Bonus_Percentage]]</f>
        <v>2162.38</v>
      </c>
    </row>
    <row r="144" spans="1:12" x14ac:dyDescent="0.25">
      <c r="A144" t="s">
        <v>275</v>
      </c>
      <c r="B144" t="str">
        <f>CONCATENATE(Raw_Employee_Data!B144," ",Raw_Employee_Data!C144)</f>
        <v>Richard Williams</v>
      </c>
      <c r="C144" t="str">
        <f>UPPER(TRIM(Raw_Employee_Data!D143:D300))</f>
        <v>FIN03</v>
      </c>
      <c r="D144" t="str">
        <f>VLOOKUP(C144,Lookup_Departments!$A$1:$B$7,2,)</f>
        <v>Finance</v>
      </c>
      <c r="E144" s="5">
        <v>43887</v>
      </c>
      <c r="F144" s="4">
        <f t="shared" ca="1" si="2"/>
        <v>6.3611111111111107</v>
      </c>
      <c r="G144" s="6">
        <v>83604</v>
      </c>
      <c r="H144">
        <v>96</v>
      </c>
      <c r="I144" t="str">
        <f>VLOOKUP(H144,Lookup_Performance!$A$1:$D$6,3)</f>
        <v>Outstanding</v>
      </c>
      <c r="J144" s="7">
        <f>VLOOKUP(H144,Lookup_Performance!$A$1:$D$6,4)</f>
        <v>0.12</v>
      </c>
      <c r="K144" t="str">
        <f>PROPER(TRIM(Raw_Employee_Data!H143:H300))</f>
        <v>Active</v>
      </c>
      <c r="L144" s="6">
        <f>Table1[[#This Row],[Salary]]*Table1[[#This Row],[Bonus_Percentage]]</f>
        <v>10032.48</v>
      </c>
    </row>
    <row r="145" spans="1:12" x14ac:dyDescent="0.25">
      <c r="A145" t="s">
        <v>276</v>
      </c>
      <c r="B145" t="str">
        <f>CONCATENATE(Raw_Employee_Data!B145," ",Raw_Employee_Data!C145)</f>
        <v>John Hernandez</v>
      </c>
      <c r="C145" t="str">
        <f>UPPER(TRIM(Raw_Employee_Data!D144:D301))</f>
        <v>OPS06</v>
      </c>
      <c r="D145" t="str">
        <f>VLOOKUP(C145,Lookup_Departments!$A$1:$B$7,2,)</f>
        <v>Operations</v>
      </c>
      <c r="E145" s="5">
        <v>44991</v>
      </c>
      <c r="F145" s="4">
        <f t="shared" ca="1" si="2"/>
        <v>3.3333333333333335</v>
      </c>
      <c r="G145" s="6">
        <v>106896</v>
      </c>
      <c r="H145">
        <v>52</v>
      </c>
      <c r="I145" t="str">
        <f>VLOOKUP(H145,Lookup_Performance!$A$1:$D$6,3)</f>
        <v>Developing</v>
      </c>
      <c r="J145" s="7">
        <f>VLOOKUP(H145,Lookup_Performance!$A$1:$D$6,4)</f>
        <v>0.02</v>
      </c>
      <c r="K145" t="str">
        <f>PROPER(TRIM(Raw_Employee_Data!H144:H301))</f>
        <v>Active</v>
      </c>
      <c r="L145" s="6">
        <f>Table1[[#This Row],[Salary]]*Table1[[#This Row],[Bonus_Percentage]]</f>
        <v>2137.92</v>
      </c>
    </row>
    <row r="146" spans="1:12" x14ac:dyDescent="0.25">
      <c r="A146" t="s">
        <v>277</v>
      </c>
      <c r="B146" t="str">
        <f>CONCATENATE(Raw_Employee_Data!B146," ",Raw_Employee_Data!C146)</f>
        <v>Sarah Gonzalez</v>
      </c>
      <c r="C146" t="str">
        <f>UPPER(TRIM(Raw_Employee_Data!D145:D302))</f>
        <v>OPS06</v>
      </c>
      <c r="D146" t="str">
        <f>VLOOKUP(C146,Lookup_Departments!$A$1:$B$7,2,)</f>
        <v>Operations</v>
      </c>
      <c r="E146" s="5">
        <v>43800</v>
      </c>
      <c r="F146" s="4">
        <f t="shared" ca="1" si="2"/>
        <v>6.5972222222222223</v>
      </c>
      <c r="G146" s="6">
        <v>112887</v>
      </c>
      <c r="H146">
        <v>59</v>
      </c>
      <c r="I146" t="str">
        <f>VLOOKUP(H146,Lookup_Performance!$A$1:$D$6,3)</f>
        <v>Developing</v>
      </c>
      <c r="J146" s="7">
        <f>VLOOKUP(H146,Lookup_Performance!$A$1:$D$6,4)</f>
        <v>0.02</v>
      </c>
      <c r="K146" t="str">
        <f>PROPER(TRIM(Raw_Employee_Data!H145:H302))</f>
        <v>Active</v>
      </c>
      <c r="L146" s="6">
        <f>Table1[[#This Row],[Salary]]*Table1[[#This Row],[Bonus_Percentage]]</f>
        <v>2257.7400000000002</v>
      </c>
    </row>
    <row r="147" spans="1:12" x14ac:dyDescent="0.25">
      <c r="A147" t="s">
        <v>279</v>
      </c>
      <c r="B147" t="str">
        <f>CONCATENATE(Raw_Employee_Data!B147," ",Raw_Employee_Data!C147)</f>
        <v>Melissa Hernandez</v>
      </c>
      <c r="C147" t="str">
        <f>UPPER(TRIM(Raw_Employee_Data!D146:D303))</f>
        <v>SAL05</v>
      </c>
      <c r="D147" t="str">
        <f>VLOOKUP(C147,Lookup_Departments!$A$1:$B$7,2,)</f>
        <v>Sales</v>
      </c>
      <c r="E147" s="5">
        <v>45037</v>
      </c>
      <c r="F147" s="4">
        <f t="shared" ca="1" si="2"/>
        <v>3.2083333333333335</v>
      </c>
      <c r="G147" s="6">
        <v>85457</v>
      </c>
      <c r="H147">
        <v>79</v>
      </c>
      <c r="I147" t="str">
        <f>VLOOKUP(H147,Lookup_Performance!$A$1:$D$6,3)</f>
        <v>Achieving</v>
      </c>
      <c r="J147" s="7">
        <f>VLOOKUP(H147,Lookup_Performance!$A$1:$D$6,4)</f>
        <v>0.05</v>
      </c>
      <c r="K147" t="str">
        <f>PROPER(TRIM(Raw_Employee_Data!H146:H303))</f>
        <v>Resigned</v>
      </c>
      <c r="L147" s="6">
        <f>Table1[[#This Row],[Salary]]*Table1[[#This Row],[Bonus_Percentage]]</f>
        <v>4272.8500000000004</v>
      </c>
    </row>
    <row r="148" spans="1:12" x14ac:dyDescent="0.25">
      <c r="A148" t="s">
        <v>280</v>
      </c>
      <c r="B148" t="str">
        <f>CONCATENATE(Raw_Employee_Data!B148," ",Raw_Employee_Data!C148)</f>
        <v>Melissa Hernandez</v>
      </c>
      <c r="C148" t="str">
        <f>UPPER(TRIM(Raw_Employee_Data!D147:D304))</f>
        <v>OPS06</v>
      </c>
      <c r="D148" t="str">
        <f>VLOOKUP(C148,Lookup_Departments!$A$1:$B$7,2,)</f>
        <v>Operations</v>
      </c>
      <c r="E148" s="5">
        <v>42519</v>
      </c>
      <c r="F148" s="4">
        <f t="shared" ca="1" si="2"/>
        <v>10.102777777777778</v>
      </c>
      <c r="G148" s="6">
        <v>62798</v>
      </c>
      <c r="H148">
        <v>30</v>
      </c>
      <c r="I148" t="str">
        <f>VLOOKUP(H148,Lookup_Performance!$A$1:$D$6,3)</f>
        <v>Needs Improvement</v>
      </c>
      <c r="J148" s="7">
        <f>VLOOKUP(H148,Lookup_Performance!$A$1:$D$6,4)</f>
        <v>0</v>
      </c>
      <c r="K148" t="str">
        <f>PROPER(TRIM(Raw_Employee_Data!H147:H304))</f>
        <v>Resigned</v>
      </c>
      <c r="L148" s="6">
        <f>Table1[[#This Row],[Salary]]*Table1[[#This Row],[Bonus_Percentage]]</f>
        <v>0</v>
      </c>
    </row>
    <row r="149" spans="1:12" x14ac:dyDescent="0.25">
      <c r="A149" t="s">
        <v>281</v>
      </c>
      <c r="B149" t="str">
        <f>CONCATENATE(Raw_Employee_Data!B149," ",Raw_Employee_Data!C149)</f>
        <v>John Davis</v>
      </c>
      <c r="C149" t="str">
        <f>UPPER(TRIM(Raw_Employee_Data!D148:D305))</f>
        <v>IT02</v>
      </c>
      <c r="D149" t="str">
        <f>VLOOKUP(C149,Lookup_Departments!$A$1:$B$7,2,)</f>
        <v>Information Technology</v>
      </c>
      <c r="E149" s="5">
        <v>44711</v>
      </c>
      <c r="F149" s="4">
        <f t="shared" ca="1" si="2"/>
        <v>4.0999999999999996</v>
      </c>
      <c r="G149" s="6">
        <v>47794</v>
      </c>
      <c r="H149">
        <v>73</v>
      </c>
      <c r="I149" t="str">
        <f>VLOOKUP(H149,Lookup_Performance!$A$1:$D$6,3)</f>
        <v>Achieving</v>
      </c>
      <c r="J149" s="7">
        <f>VLOOKUP(H149,Lookup_Performance!$A$1:$D$6,4)</f>
        <v>0.05</v>
      </c>
      <c r="K149" t="str">
        <f>PROPER(TRIM(Raw_Employee_Data!H148:H305))</f>
        <v>Active</v>
      </c>
      <c r="L149" s="6">
        <f>Table1[[#This Row],[Salary]]*Table1[[#This Row],[Bonus_Percentage]]</f>
        <v>2389.7000000000003</v>
      </c>
    </row>
    <row r="150" spans="1:12" x14ac:dyDescent="0.25">
      <c r="A150" t="s">
        <v>282</v>
      </c>
      <c r="B150" t="str">
        <f>CONCATENATE(Raw_Employee_Data!B150," ",Raw_Employee_Data!C150)</f>
        <v>Richard Davis</v>
      </c>
      <c r="C150" t="str">
        <f>UPPER(TRIM(Raw_Employee_Data!D149:D306))</f>
        <v>HR01</v>
      </c>
      <c r="D150" t="str">
        <f>VLOOKUP(C150,Lookup_Departments!$A$1:$B$7,2,)</f>
        <v>Human Resources</v>
      </c>
      <c r="E150" s="5">
        <v>42677</v>
      </c>
      <c r="F150" s="4">
        <f t="shared" ca="1" si="2"/>
        <v>9.6750000000000007</v>
      </c>
      <c r="G150" s="6">
        <v>93094</v>
      </c>
      <c r="H150">
        <v>74</v>
      </c>
      <c r="I150" t="str">
        <f>VLOOKUP(H150,Lookup_Performance!$A$1:$D$6,3)</f>
        <v>Achieving</v>
      </c>
      <c r="J150" s="7">
        <f>VLOOKUP(H150,Lookup_Performance!$A$1:$D$6,4)</f>
        <v>0.05</v>
      </c>
      <c r="K150" t="str">
        <f>PROPER(TRIM(Raw_Employee_Data!H149:H306))</f>
        <v>Left</v>
      </c>
      <c r="L150" s="6">
        <f>Table1[[#This Row],[Salary]]*Table1[[#This Row],[Bonus_Percentage]]</f>
        <v>4654.7</v>
      </c>
    </row>
    <row r="151" spans="1:12" x14ac:dyDescent="0.25">
      <c r="A151" t="s">
        <v>284</v>
      </c>
      <c r="B151" t="str">
        <f>CONCATENATE(Raw_Employee_Data!B151," ",Raw_Employee_Data!C151)</f>
        <v xml:space="preserve"> Jones</v>
      </c>
      <c r="C151" t="str">
        <f>UPPER(TRIM(Raw_Employee_Data!D150:D307))</f>
        <v>IT02</v>
      </c>
      <c r="D151" t="str">
        <f>VLOOKUP(C151,Lookup_Departments!$A$1:$B$7,2,)</f>
        <v>Information Technology</v>
      </c>
      <c r="E151" s="5">
        <v>44848</v>
      </c>
      <c r="F151" s="4">
        <f t="shared" ca="1" si="2"/>
        <v>3.7277777777777779</v>
      </c>
      <c r="G151" s="6">
        <v>118634</v>
      </c>
      <c r="H151">
        <v>91</v>
      </c>
      <c r="I151" t="str">
        <f>VLOOKUP(H151,Lookup_Performance!$A$1:$D$6,3)</f>
        <v>Exceeding</v>
      </c>
      <c r="J151" s="7">
        <f>VLOOKUP(H151,Lookup_Performance!$A$1:$D$6,4)</f>
        <v>0.08</v>
      </c>
      <c r="K151" t="str">
        <f>PROPER(TRIM(Raw_Employee_Data!H150:H307))</f>
        <v>Active</v>
      </c>
      <c r="L151" s="6">
        <f>Table1[[#This Row],[Salary]]*Table1[[#This Row],[Bonus_Percentage]]</f>
        <v>9490.7199999999993</v>
      </c>
    </row>
    <row r="152" spans="1:12" x14ac:dyDescent="0.25">
      <c r="G152" s="6">
        <f>AVERAGE(G1:G151)</f>
        <v>83603.94</v>
      </c>
      <c r="H152" s="4">
        <f>AVERAGE(H1:H151)</f>
        <v>68.073333333333338</v>
      </c>
      <c r="I152" s="4"/>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8"/>
  <sheetViews>
    <sheetView workbookViewId="0">
      <selection activeCell="B1" sqref="B1:B1048576"/>
    </sheetView>
  </sheetViews>
  <sheetFormatPr defaultRowHeight="15" x14ac:dyDescent="0.25"/>
  <cols>
    <col min="1" max="1" width="10.7109375" customWidth="1"/>
    <col min="2" max="2" width="13.7109375" customWidth="1"/>
    <col min="3" max="3" width="14" customWidth="1"/>
    <col min="4" max="4" width="10.28515625" bestFit="1" customWidth="1"/>
    <col min="5" max="5" width="18.28515625" bestFit="1" customWidth="1"/>
    <col min="6" max="6" width="8.5703125" bestFit="1" customWidth="1"/>
    <col min="7" max="7" width="10.5703125" bestFit="1" customWidth="1"/>
    <col min="8" max="8" width="18.42578125" bestFit="1" customWidth="1"/>
  </cols>
  <sheetData>
    <row r="1" spans="1:8" x14ac:dyDescent="0.25">
      <c r="A1" s="1" t="s">
        <v>0</v>
      </c>
      <c r="B1" s="1" t="s">
        <v>1</v>
      </c>
      <c r="C1" s="1" t="s">
        <v>2</v>
      </c>
      <c r="D1" s="1" t="s">
        <v>3</v>
      </c>
      <c r="E1" s="1" t="s">
        <v>4</v>
      </c>
      <c r="F1" s="1" t="s">
        <v>5</v>
      </c>
      <c r="G1" s="1" t="s">
        <v>6</v>
      </c>
      <c r="H1" s="3" t="s">
        <v>7</v>
      </c>
    </row>
    <row r="2" spans="1:8" x14ac:dyDescent="0.25">
      <c r="A2" t="s">
        <v>8</v>
      </c>
      <c r="B2" t="s">
        <v>9</v>
      </c>
      <c r="C2" t="s">
        <v>10</v>
      </c>
      <c r="D2" t="s">
        <v>11</v>
      </c>
      <c r="E2" s="2">
        <v>43093</v>
      </c>
      <c r="F2">
        <v>50361</v>
      </c>
      <c r="G2">
        <v>52</v>
      </c>
      <c r="H2" t="s">
        <v>12</v>
      </c>
    </row>
    <row r="3" spans="1:8" x14ac:dyDescent="0.25">
      <c r="A3" t="s">
        <v>13</v>
      </c>
      <c r="B3" t="s">
        <v>14</v>
      </c>
      <c r="C3" t="s">
        <v>15</v>
      </c>
      <c r="D3" t="s">
        <v>16</v>
      </c>
      <c r="E3" s="2">
        <v>44659</v>
      </c>
      <c r="F3">
        <v>112673</v>
      </c>
      <c r="H3" t="s">
        <v>17</v>
      </c>
    </row>
    <row r="4" spans="1:8" x14ac:dyDescent="0.25">
      <c r="A4" t="s">
        <v>18</v>
      </c>
      <c r="B4" t="s">
        <v>9</v>
      </c>
      <c r="C4" t="s">
        <v>19</v>
      </c>
      <c r="D4" t="s">
        <v>20</v>
      </c>
      <c r="E4" s="2">
        <v>42431</v>
      </c>
      <c r="F4" t="s">
        <v>21</v>
      </c>
      <c r="G4">
        <v>54</v>
      </c>
      <c r="H4" t="s">
        <v>22</v>
      </c>
    </row>
    <row r="5" spans="1:8" x14ac:dyDescent="0.25">
      <c r="A5" t="s">
        <v>23</v>
      </c>
      <c r="B5" t="s">
        <v>24</v>
      </c>
      <c r="C5" t="s">
        <v>25</v>
      </c>
      <c r="D5" t="s">
        <v>26</v>
      </c>
      <c r="E5" s="2">
        <v>45110</v>
      </c>
      <c r="F5">
        <v>103831</v>
      </c>
      <c r="G5">
        <v>70</v>
      </c>
      <c r="H5" t="s">
        <v>12</v>
      </c>
    </row>
    <row r="6" spans="1:8" x14ac:dyDescent="0.25">
      <c r="A6" t="s">
        <v>27</v>
      </c>
      <c r="B6" t="s">
        <v>28</v>
      </c>
      <c r="C6" t="s">
        <v>29</v>
      </c>
      <c r="D6" t="s">
        <v>11</v>
      </c>
      <c r="E6" s="2">
        <v>44977</v>
      </c>
      <c r="F6">
        <v>73785</v>
      </c>
      <c r="G6">
        <v>40</v>
      </c>
      <c r="H6" t="s">
        <v>30</v>
      </c>
    </row>
    <row r="7" spans="1:8" x14ac:dyDescent="0.25">
      <c r="A7" t="s">
        <v>31</v>
      </c>
      <c r="B7" t="s">
        <v>9</v>
      </c>
      <c r="C7" t="s">
        <v>32</v>
      </c>
      <c r="D7" t="s">
        <v>33</v>
      </c>
      <c r="E7" t="s">
        <v>34</v>
      </c>
      <c r="F7">
        <v>115882</v>
      </c>
      <c r="G7">
        <v>49</v>
      </c>
      <c r="H7" t="s">
        <v>17</v>
      </c>
    </row>
    <row r="8" spans="1:8" x14ac:dyDescent="0.25">
      <c r="A8" t="s">
        <v>35</v>
      </c>
      <c r="B8" t="s">
        <v>24</v>
      </c>
      <c r="C8" t="s">
        <v>36</v>
      </c>
      <c r="D8" t="s">
        <v>37</v>
      </c>
      <c r="E8" s="2">
        <v>45272</v>
      </c>
      <c r="F8">
        <v>59980</v>
      </c>
      <c r="G8">
        <v>70</v>
      </c>
      <c r="H8" t="s">
        <v>30</v>
      </c>
    </row>
    <row r="9" spans="1:8" x14ac:dyDescent="0.25">
      <c r="A9" t="s">
        <v>38</v>
      </c>
      <c r="B9" t="s">
        <v>39</v>
      </c>
      <c r="C9" t="s">
        <v>29</v>
      </c>
      <c r="D9" t="s">
        <v>37</v>
      </c>
      <c r="E9" s="2">
        <v>44174</v>
      </c>
      <c r="F9">
        <v>68728</v>
      </c>
      <c r="G9">
        <v>45</v>
      </c>
      <c r="H9" t="s">
        <v>17</v>
      </c>
    </row>
    <row r="10" spans="1:8" x14ac:dyDescent="0.25">
      <c r="A10" t="s">
        <v>40</v>
      </c>
      <c r="C10" t="s">
        <v>41</v>
      </c>
      <c r="D10" t="s">
        <v>26</v>
      </c>
      <c r="E10" s="2">
        <v>43107</v>
      </c>
      <c r="F10">
        <v>102139</v>
      </c>
      <c r="G10">
        <v>79</v>
      </c>
      <c r="H10" t="s">
        <v>12</v>
      </c>
    </row>
    <row r="11" spans="1:8" x14ac:dyDescent="0.25">
      <c r="A11" t="s">
        <v>42</v>
      </c>
      <c r="B11" t="s">
        <v>43</v>
      </c>
      <c r="C11" t="s">
        <v>25</v>
      </c>
      <c r="D11" t="s">
        <v>44</v>
      </c>
      <c r="E11" s="2">
        <v>42676</v>
      </c>
      <c r="F11">
        <v>94998</v>
      </c>
      <c r="G11">
        <v>58</v>
      </c>
      <c r="H11" t="s">
        <v>45</v>
      </c>
    </row>
    <row r="12" spans="1:8" x14ac:dyDescent="0.25">
      <c r="A12" t="s">
        <v>46</v>
      </c>
      <c r="B12" t="s">
        <v>9</v>
      </c>
      <c r="C12" t="s">
        <v>47</v>
      </c>
      <c r="D12" t="s">
        <v>48</v>
      </c>
      <c r="E12" s="2">
        <v>43911</v>
      </c>
      <c r="F12" t="s">
        <v>49</v>
      </c>
      <c r="G12">
        <v>49</v>
      </c>
      <c r="H12" t="s">
        <v>45</v>
      </c>
    </row>
    <row r="13" spans="1:8" x14ac:dyDescent="0.25">
      <c r="A13" t="s">
        <v>50</v>
      </c>
      <c r="B13" t="s">
        <v>9</v>
      </c>
      <c r="C13" t="s">
        <v>15</v>
      </c>
      <c r="D13" t="s">
        <v>11</v>
      </c>
      <c r="E13" s="2">
        <v>42425</v>
      </c>
      <c r="F13">
        <v>76918</v>
      </c>
      <c r="G13">
        <v>62</v>
      </c>
      <c r="H13" t="s">
        <v>45</v>
      </c>
    </row>
    <row r="14" spans="1:8" x14ac:dyDescent="0.25">
      <c r="A14" t="s">
        <v>51</v>
      </c>
      <c r="B14" t="s">
        <v>52</v>
      </c>
      <c r="C14" t="s">
        <v>53</v>
      </c>
      <c r="D14" t="s">
        <v>54</v>
      </c>
      <c r="E14" t="s">
        <v>55</v>
      </c>
      <c r="F14">
        <v>61408</v>
      </c>
      <c r="G14">
        <v>48</v>
      </c>
      <c r="H14" t="s">
        <v>17</v>
      </c>
    </row>
    <row r="15" spans="1:8" x14ac:dyDescent="0.25">
      <c r="A15" t="s">
        <v>56</v>
      </c>
      <c r="B15" t="s">
        <v>52</v>
      </c>
      <c r="C15" t="s">
        <v>47</v>
      </c>
      <c r="D15" t="s">
        <v>16</v>
      </c>
      <c r="E15" s="2">
        <v>44001</v>
      </c>
      <c r="F15">
        <v>99990</v>
      </c>
      <c r="G15">
        <v>54</v>
      </c>
      <c r="H15" t="s">
        <v>45</v>
      </c>
    </row>
    <row r="16" spans="1:8" x14ac:dyDescent="0.25">
      <c r="A16" t="s">
        <v>57</v>
      </c>
      <c r="B16" t="s">
        <v>58</v>
      </c>
      <c r="C16" t="s">
        <v>59</v>
      </c>
      <c r="D16" t="s">
        <v>60</v>
      </c>
      <c r="E16" s="2">
        <v>43820</v>
      </c>
      <c r="F16">
        <v>80385</v>
      </c>
      <c r="H16" t="s">
        <v>12</v>
      </c>
    </row>
    <row r="17" spans="1:8" x14ac:dyDescent="0.25">
      <c r="A17" t="s">
        <v>61</v>
      </c>
      <c r="B17" t="s">
        <v>28</v>
      </c>
      <c r="C17" t="s">
        <v>41</v>
      </c>
      <c r="D17" t="s">
        <v>44</v>
      </c>
      <c r="E17" s="2">
        <v>45169</v>
      </c>
      <c r="F17">
        <v>65290</v>
      </c>
      <c r="G17">
        <v>77</v>
      </c>
      <c r="H17" t="s">
        <v>12</v>
      </c>
    </row>
    <row r="18" spans="1:8" x14ac:dyDescent="0.25">
      <c r="A18" t="s">
        <v>62</v>
      </c>
      <c r="B18" t="s">
        <v>9</v>
      </c>
      <c r="C18" t="s">
        <v>63</v>
      </c>
      <c r="D18" t="s">
        <v>11</v>
      </c>
      <c r="E18" s="2">
        <v>42337</v>
      </c>
      <c r="F18">
        <v>105765</v>
      </c>
      <c r="G18">
        <v>42</v>
      </c>
      <c r="H18" t="s">
        <v>45</v>
      </c>
    </row>
    <row r="19" spans="1:8" x14ac:dyDescent="0.25">
      <c r="A19" t="s">
        <v>64</v>
      </c>
      <c r="B19" t="s">
        <v>65</v>
      </c>
      <c r="C19" t="s">
        <v>25</v>
      </c>
      <c r="D19" t="s">
        <v>44</v>
      </c>
      <c r="E19" s="2">
        <v>42899</v>
      </c>
      <c r="F19">
        <v>102921</v>
      </c>
      <c r="G19">
        <v>49</v>
      </c>
      <c r="H19" t="s">
        <v>17</v>
      </c>
    </row>
    <row r="20" spans="1:8" x14ac:dyDescent="0.25">
      <c r="A20" t="s">
        <v>50</v>
      </c>
      <c r="B20" t="s">
        <v>9</v>
      </c>
      <c r="C20" t="s">
        <v>15</v>
      </c>
      <c r="D20" t="s">
        <v>11</v>
      </c>
      <c r="E20" s="2">
        <v>42425</v>
      </c>
      <c r="F20">
        <v>76918</v>
      </c>
      <c r="G20">
        <v>62</v>
      </c>
      <c r="H20" t="s">
        <v>45</v>
      </c>
    </row>
    <row r="21" spans="1:8" x14ac:dyDescent="0.25">
      <c r="A21" t="s">
        <v>66</v>
      </c>
      <c r="B21" t="s">
        <v>67</v>
      </c>
      <c r="C21" t="s">
        <v>68</v>
      </c>
      <c r="D21" t="s">
        <v>16</v>
      </c>
      <c r="E21" s="2">
        <v>43235</v>
      </c>
      <c r="F21">
        <v>73984</v>
      </c>
      <c r="G21">
        <v>93</v>
      </c>
      <c r="H21" t="s">
        <v>45</v>
      </c>
    </row>
    <row r="22" spans="1:8" x14ac:dyDescent="0.25">
      <c r="A22" t="s">
        <v>69</v>
      </c>
      <c r="B22" t="s">
        <v>70</v>
      </c>
      <c r="C22" t="s">
        <v>19</v>
      </c>
      <c r="D22" t="s">
        <v>11</v>
      </c>
      <c r="E22" s="2">
        <v>42575</v>
      </c>
      <c r="G22">
        <v>75</v>
      </c>
      <c r="H22" t="s">
        <v>45</v>
      </c>
    </row>
    <row r="23" spans="1:8" x14ac:dyDescent="0.25">
      <c r="A23" t="s">
        <v>71</v>
      </c>
      <c r="B23" t="s">
        <v>43</v>
      </c>
      <c r="C23" t="s">
        <v>15</v>
      </c>
      <c r="D23" t="s">
        <v>26</v>
      </c>
      <c r="E23" s="2">
        <v>43076</v>
      </c>
      <c r="F23">
        <v>118527</v>
      </c>
      <c r="G23">
        <v>50</v>
      </c>
      <c r="H23" t="s">
        <v>45</v>
      </c>
    </row>
    <row r="24" spans="1:8" x14ac:dyDescent="0.25">
      <c r="A24" t="s">
        <v>72</v>
      </c>
      <c r="B24" t="s">
        <v>14</v>
      </c>
      <c r="C24" t="s">
        <v>15</v>
      </c>
      <c r="D24" t="s">
        <v>16</v>
      </c>
      <c r="E24" s="2">
        <v>44353</v>
      </c>
      <c r="F24">
        <v>107871</v>
      </c>
      <c r="G24">
        <v>88</v>
      </c>
      <c r="H24" t="s">
        <v>12</v>
      </c>
    </row>
    <row r="25" spans="1:8" x14ac:dyDescent="0.25">
      <c r="A25" t="s">
        <v>73</v>
      </c>
      <c r="B25" t="s">
        <v>43</v>
      </c>
      <c r="C25" t="s">
        <v>41</v>
      </c>
      <c r="D25" t="s">
        <v>20</v>
      </c>
      <c r="E25" s="2">
        <v>44815</v>
      </c>
      <c r="F25">
        <v>93956</v>
      </c>
      <c r="G25">
        <v>50</v>
      </c>
      <c r="H25" t="s">
        <v>22</v>
      </c>
    </row>
    <row r="26" spans="1:8" x14ac:dyDescent="0.25">
      <c r="A26" t="s">
        <v>74</v>
      </c>
      <c r="B26" t="s">
        <v>39</v>
      </c>
      <c r="C26" t="s">
        <v>32</v>
      </c>
      <c r="D26" t="s">
        <v>75</v>
      </c>
      <c r="E26" s="2">
        <v>42565</v>
      </c>
      <c r="F26">
        <v>100851</v>
      </c>
      <c r="G26">
        <v>64</v>
      </c>
      <c r="H26" t="s">
        <v>17</v>
      </c>
    </row>
    <row r="27" spans="1:8" x14ac:dyDescent="0.25">
      <c r="A27" t="s">
        <v>76</v>
      </c>
      <c r="B27" t="s">
        <v>67</v>
      </c>
      <c r="C27" t="s">
        <v>53</v>
      </c>
      <c r="D27" t="s">
        <v>44</v>
      </c>
      <c r="E27" s="2">
        <v>44728</v>
      </c>
      <c r="F27">
        <v>68655</v>
      </c>
      <c r="G27">
        <v>32</v>
      </c>
      <c r="H27" t="s">
        <v>12</v>
      </c>
    </row>
    <row r="28" spans="1:8" x14ac:dyDescent="0.25">
      <c r="A28" t="s">
        <v>77</v>
      </c>
      <c r="C28" t="s">
        <v>53</v>
      </c>
      <c r="D28" t="s">
        <v>78</v>
      </c>
      <c r="E28" s="2">
        <v>45134</v>
      </c>
      <c r="F28">
        <v>81205</v>
      </c>
      <c r="G28">
        <v>59</v>
      </c>
      <c r="H28" t="s">
        <v>45</v>
      </c>
    </row>
    <row r="29" spans="1:8" x14ac:dyDescent="0.25">
      <c r="A29" t="s">
        <v>79</v>
      </c>
      <c r="B29" t="s">
        <v>24</v>
      </c>
      <c r="C29" t="s">
        <v>36</v>
      </c>
      <c r="D29" t="s">
        <v>44</v>
      </c>
      <c r="E29" t="s">
        <v>80</v>
      </c>
      <c r="F29" t="s">
        <v>81</v>
      </c>
      <c r="G29">
        <v>88</v>
      </c>
      <c r="H29" t="s">
        <v>45</v>
      </c>
    </row>
    <row r="30" spans="1:8" x14ac:dyDescent="0.25">
      <c r="A30" t="s">
        <v>82</v>
      </c>
      <c r="B30" t="s">
        <v>28</v>
      </c>
      <c r="C30" t="s">
        <v>41</v>
      </c>
      <c r="D30" t="s">
        <v>83</v>
      </c>
      <c r="E30" s="2">
        <v>44765</v>
      </c>
      <c r="F30" t="s">
        <v>84</v>
      </c>
      <c r="G30">
        <v>90</v>
      </c>
      <c r="H30" t="s">
        <v>45</v>
      </c>
    </row>
    <row r="31" spans="1:8" x14ac:dyDescent="0.25">
      <c r="A31" t="s">
        <v>85</v>
      </c>
      <c r="B31" t="s">
        <v>43</v>
      </c>
      <c r="C31" t="s">
        <v>36</v>
      </c>
      <c r="D31" t="s">
        <v>86</v>
      </c>
      <c r="E31" t="s">
        <v>87</v>
      </c>
      <c r="F31">
        <v>85312</v>
      </c>
      <c r="G31">
        <v>66</v>
      </c>
      <c r="H31" t="s">
        <v>12</v>
      </c>
    </row>
    <row r="32" spans="1:8" x14ac:dyDescent="0.25">
      <c r="A32" t="s">
        <v>88</v>
      </c>
      <c r="B32" t="s">
        <v>24</v>
      </c>
      <c r="C32" t="s">
        <v>41</v>
      </c>
      <c r="D32" t="s">
        <v>44</v>
      </c>
      <c r="E32" s="2">
        <v>42202</v>
      </c>
      <c r="G32">
        <v>68</v>
      </c>
      <c r="H32" t="s">
        <v>12</v>
      </c>
    </row>
    <row r="33" spans="1:8" x14ac:dyDescent="0.25">
      <c r="A33" t="s">
        <v>89</v>
      </c>
      <c r="B33" t="s">
        <v>28</v>
      </c>
      <c r="C33" t="s">
        <v>15</v>
      </c>
      <c r="D33" t="s">
        <v>33</v>
      </c>
      <c r="E33" t="s">
        <v>90</v>
      </c>
      <c r="F33">
        <v>97055</v>
      </c>
      <c r="G33">
        <v>80</v>
      </c>
      <c r="H33" t="s">
        <v>45</v>
      </c>
    </row>
    <row r="34" spans="1:8" x14ac:dyDescent="0.25">
      <c r="A34" t="s">
        <v>91</v>
      </c>
      <c r="B34" t="s">
        <v>43</v>
      </c>
      <c r="C34" t="s">
        <v>32</v>
      </c>
      <c r="D34" t="s">
        <v>11</v>
      </c>
      <c r="E34" s="2">
        <v>45195</v>
      </c>
      <c r="F34">
        <v>66069</v>
      </c>
      <c r="G34">
        <v>72</v>
      </c>
      <c r="H34" t="s">
        <v>45</v>
      </c>
    </row>
    <row r="35" spans="1:8" x14ac:dyDescent="0.25">
      <c r="A35" t="s">
        <v>92</v>
      </c>
      <c r="B35" t="s">
        <v>93</v>
      </c>
      <c r="C35" t="s">
        <v>10</v>
      </c>
      <c r="D35" t="s">
        <v>83</v>
      </c>
      <c r="E35" t="s">
        <v>94</v>
      </c>
      <c r="F35">
        <v>90157</v>
      </c>
      <c r="G35">
        <v>58</v>
      </c>
      <c r="H35" t="s">
        <v>12</v>
      </c>
    </row>
    <row r="36" spans="1:8" x14ac:dyDescent="0.25">
      <c r="A36" t="s">
        <v>95</v>
      </c>
      <c r="B36" t="s">
        <v>52</v>
      </c>
      <c r="C36" t="s">
        <v>25</v>
      </c>
      <c r="D36" t="s">
        <v>96</v>
      </c>
      <c r="E36" s="2">
        <v>44578</v>
      </c>
      <c r="F36">
        <v>59899</v>
      </c>
      <c r="G36">
        <v>78</v>
      </c>
      <c r="H36" t="s">
        <v>45</v>
      </c>
    </row>
    <row r="37" spans="1:8" x14ac:dyDescent="0.25">
      <c r="A37" t="s">
        <v>97</v>
      </c>
      <c r="B37" t="s">
        <v>9</v>
      </c>
      <c r="C37" t="s">
        <v>59</v>
      </c>
      <c r="D37" t="s">
        <v>75</v>
      </c>
      <c r="E37" t="s">
        <v>98</v>
      </c>
      <c r="F37">
        <v>113389</v>
      </c>
      <c r="G37">
        <v>30</v>
      </c>
      <c r="H37" t="s">
        <v>17</v>
      </c>
    </row>
    <row r="38" spans="1:8" x14ac:dyDescent="0.25">
      <c r="A38" t="s">
        <v>99</v>
      </c>
      <c r="C38" t="s">
        <v>10</v>
      </c>
      <c r="D38" t="s">
        <v>20</v>
      </c>
      <c r="E38" t="s">
        <v>100</v>
      </c>
      <c r="F38">
        <v>102691</v>
      </c>
      <c r="G38">
        <v>52</v>
      </c>
      <c r="H38" t="s">
        <v>45</v>
      </c>
    </row>
    <row r="39" spans="1:8" x14ac:dyDescent="0.25">
      <c r="A39" t="s">
        <v>101</v>
      </c>
      <c r="B39" t="s">
        <v>24</v>
      </c>
      <c r="C39" t="s">
        <v>36</v>
      </c>
      <c r="D39" t="s">
        <v>33</v>
      </c>
      <c r="E39" t="s">
        <v>102</v>
      </c>
      <c r="F39">
        <v>111845</v>
      </c>
      <c r="G39">
        <v>98</v>
      </c>
      <c r="H39" t="s">
        <v>12</v>
      </c>
    </row>
    <row r="40" spans="1:8" x14ac:dyDescent="0.25">
      <c r="A40" t="s">
        <v>103</v>
      </c>
      <c r="B40" t="s">
        <v>104</v>
      </c>
      <c r="C40" t="s">
        <v>10</v>
      </c>
      <c r="D40" t="s">
        <v>78</v>
      </c>
      <c r="E40" t="s">
        <v>105</v>
      </c>
      <c r="F40">
        <v>69219</v>
      </c>
      <c r="G40">
        <v>93</v>
      </c>
      <c r="H40" t="s">
        <v>45</v>
      </c>
    </row>
    <row r="41" spans="1:8" x14ac:dyDescent="0.25">
      <c r="A41" t="s">
        <v>106</v>
      </c>
      <c r="B41" t="s">
        <v>43</v>
      </c>
      <c r="C41" t="s">
        <v>29</v>
      </c>
      <c r="D41" t="s">
        <v>26</v>
      </c>
      <c r="E41" s="2">
        <v>43949</v>
      </c>
      <c r="G41">
        <v>80</v>
      </c>
      <c r="H41" t="s">
        <v>107</v>
      </c>
    </row>
    <row r="42" spans="1:8" x14ac:dyDescent="0.25">
      <c r="A42" t="s">
        <v>108</v>
      </c>
      <c r="B42" t="s">
        <v>93</v>
      </c>
      <c r="C42" t="s">
        <v>47</v>
      </c>
      <c r="D42" t="s">
        <v>33</v>
      </c>
      <c r="E42" t="s">
        <v>109</v>
      </c>
      <c r="F42">
        <v>57514</v>
      </c>
      <c r="H42" t="s">
        <v>12</v>
      </c>
    </row>
    <row r="43" spans="1:8" x14ac:dyDescent="0.25">
      <c r="A43" t="s">
        <v>110</v>
      </c>
      <c r="B43" t="s">
        <v>9</v>
      </c>
      <c r="C43" t="s">
        <v>36</v>
      </c>
      <c r="D43" t="s">
        <v>44</v>
      </c>
      <c r="E43" s="2">
        <v>43181</v>
      </c>
      <c r="F43">
        <v>86245</v>
      </c>
      <c r="G43">
        <v>71</v>
      </c>
      <c r="H43" t="s">
        <v>22</v>
      </c>
    </row>
    <row r="44" spans="1:8" x14ac:dyDescent="0.25">
      <c r="A44" t="s">
        <v>111</v>
      </c>
      <c r="B44" t="s">
        <v>112</v>
      </c>
      <c r="C44" t="s">
        <v>15</v>
      </c>
      <c r="D44" t="s">
        <v>44</v>
      </c>
      <c r="E44" s="2">
        <v>43958</v>
      </c>
      <c r="F44">
        <v>52407</v>
      </c>
      <c r="G44">
        <v>55</v>
      </c>
      <c r="H44" t="s">
        <v>12</v>
      </c>
    </row>
    <row r="45" spans="1:8" x14ac:dyDescent="0.25">
      <c r="A45" t="s">
        <v>113</v>
      </c>
      <c r="B45" t="s">
        <v>65</v>
      </c>
      <c r="C45" t="s">
        <v>29</v>
      </c>
      <c r="D45" t="s">
        <v>37</v>
      </c>
      <c r="E45" s="2">
        <v>43549</v>
      </c>
      <c r="F45" t="s">
        <v>114</v>
      </c>
      <c r="G45">
        <v>93</v>
      </c>
      <c r="H45" t="s">
        <v>115</v>
      </c>
    </row>
    <row r="46" spans="1:8" x14ac:dyDescent="0.25">
      <c r="A46" t="s">
        <v>116</v>
      </c>
      <c r="B46" t="s">
        <v>93</v>
      </c>
      <c r="C46" t="s">
        <v>53</v>
      </c>
      <c r="D46" t="s">
        <v>11</v>
      </c>
      <c r="E46" s="2">
        <v>43686</v>
      </c>
      <c r="F46">
        <v>81896</v>
      </c>
      <c r="G46">
        <v>79</v>
      </c>
      <c r="H46" t="s">
        <v>115</v>
      </c>
    </row>
    <row r="47" spans="1:8" x14ac:dyDescent="0.25">
      <c r="A47" t="s">
        <v>117</v>
      </c>
      <c r="B47" t="s">
        <v>70</v>
      </c>
      <c r="C47" t="s">
        <v>68</v>
      </c>
      <c r="D47" t="s">
        <v>44</v>
      </c>
      <c r="E47" t="s">
        <v>118</v>
      </c>
      <c r="F47">
        <v>78402</v>
      </c>
      <c r="G47">
        <v>54</v>
      </c>
      <c r="H47" t="s">
        <v>17</v>
      </c>
    </row>
    <row r="48" spans="1:8" x14ac:dyDescent="0.25">
      <c r="A48" t="s">
        <v>119</v>
      </c>
      <c r="B48" t="s">
        <v>28</v>
      </c>
      <c r="C48" t="s">
        <v>68</v>
      </c>
      <c r="D48" t="s">
        <v>37</v>
      </c>
      <c r="E48" s="2">
        <v>42647</v>
      </c>
      <c r="F48">
        <v>105498</v>
      </c>
      <c r="G48">
        <v>76</v>
      </c>
      <c r="H48" t="s">
        <v>12</v>
      </c>
    </row>
    <row r="49" spans="1:8" x14ac:dyDescent="0.25">
      <c r="A49" t="s">
        <v>120</v>
      </c>
      <c r="B49" t="s">
        <v>104</v>
      </c>
      <c r="C49" t="s">
        <v>32</v>
      </c>
      <c r="D49" t="s">
        <v>16</v>
      </c>
      <c r="E49" t="s">
        <v>121</v>
      </c>
      <c r="F49">
        <v>91749</v>
      </c>
      <c r="G49">
        <v>72</v>
      </c>
      <c r="H49" t="s">
        <v>107</v>
      </c>
    </row>
    <row r="50" spans="1:8" x14ac:dyDescent="0.25">
      <c r="A50" t="s">
        <v>122</v>
      </c>
      <c r="B50" t="s">
        <v>70</v>
      </c>
      <c r="C50" t="s">
        <v>32</v>
      </c>
      <c r="D50" t="s">
        <v>37</v>
      </c>
      <c r="E50" s="2">
        <v>44437</v>
      </c>
      <c r="F50">
        <v>99935</v>
      </c>
      <c r="G50">
        <v>84</v>
      </c>
      <c r="H50" t="s">
        <v>115</v>
      </c>
    </row>
    <row r="51" spans="1:8" x14ac:dyDescent="0.25">
      <c r="A51" t="s">
        <v>123</v>
      </c>
      <c r="B51" t="s">
        <v>24</v>
      </c>
      <c r="C51" t="s">
        <v>63</v>
      </c>
      <c r="D51" t="s">
        <v>20</v>
      </c>
      <c r="E51" s="2">
        <v>42761</v>
      </c>
      <c r="F51">
        <v>83531</v>
      </c>
      <c r="G51">
        <v>30</v>
      </c>
      <c r="H51" t="s">
        <v>107</v>
      </c>
    </row>
    <row r="52" spans="1:8" x14ac:dyDescent="0.25">
      <c r="A52" t="s">
        <v>124</v>
      </c>
      <c r="B52" t="s">
        <v>65</v>
      </c>
      <c r="C52" t="s">
        <v>32</v>
      </c>
      <c r="D52" t="s">
        <v>54</v>
      </c>
      <c r="E52" s="2">
        <v>43981</v>
      </c>
      <c r="F52" t="s">
        <v>125</v>
      </c>
      <c r="H52" t="s">
        <v>17</v>
      </c>
    </row>
    <row r="53" spans="1:8" x14ac:dyDescent="0.25">
      <c r="A53" t="s">
        <v>126</v>
      </c>
      <c r="B53" t="s">
        <v>52</v>
      </c>
      <c r="C53" t="s">
        <v>63</v>
      </c>
      <c r="D53" t="s">
        <v>96</v>
      </c>
      <c r="E53" s="2">
        <v>44612</v>
      </c>
      <c r="F53">
        <v>93290</v>
      </c>
      <c r="G53">
        <v>53</v>
      </c>
      <c r="H53" t="s">
        <v>17</v>
      </c>
    </row>
    <row r="54" spans="1:8" x14ac:dyDescent="0.25">
      <c r="A54" t="s">
        <v>127</v>
      </c>
      <c r="B54" t="s">
        <v>14</v>
      </c>
      <c r="C54" t="s">
        <v>63</v>
      </c>
      <c r="D54" t="s">
        <v>33</v>
      </c>
      <c r="E54" s="2">
        <v>42628</v>
      </c>
      <c r="F54">
        <v>115527</v>
      </c>
      <c r="G54">
        <v>63</v>
      </c>
      <c r="H54" t="s">
        <v>115</v>
      </c>
    </row>
    <row r="55" spans="1:8" x14ac:dyDescent="0.25">
      <c r="A55" t="s">
        <v>128</v>
      </c>
      <c r="B55" t="s">
        <v>28</v>
      </c>
      <c r="C55" t="s">
        <v>41</v>
      </c>
      <c r="D55" t="s">
        <v>75</v>
      </c>
      <c r="E55" t="s">
        <v>129</v>
      </c>
      <c r="F55">
        <v>55920</v>
      </c>
      <c r="G55">
        <v>84</v>
      </c>
      <c r="H55" t="s">
        <v>45</v>
      </c>
    </row>
    <row r="56" spans="1:8" x14ac:dyDescent="0.25">
      <c r="A56" t="s">
        <v>130</v>
      </c>
      <c r="B56" t="s">
        <v>9</v>
      </c>
      <c r="C56" t="s">
        <v>32</v>
      </c>
      <c r="D56" t="s">
        <v>44</v>
      </c>
      <c r="E56" s="2">
        <v>43464</v>
      </c>
      <c r="F56">
        <v>80189</v>
      </c>
      <c r="G56">
        <v>30</v>
      </c>
      <c r="H56" t="s">
        <v>45</v>
      </c>
    </row>
    <row r="57" spans="1:8" x14ac:dyDescent="0.25">
      <c r="A57" t="s">
        <v>131</v>
      </c>
      <c r="B57" t="s">
        <v>9</v>
      </c>
      <c r="C57" t="s">
        <v>132</v>
      </c>
      <c r="D57" t="s">
        <v>96</v>
      </c>
      <c r="E57" s="2">
        <v>44189</v>
      </c>
      <c r="F57">
        <v>118947</v>
      </c>
      <c r="G57">
        <v>96</v>
      </c>
      <c r="H57" t="s">
        <v>12</v>
      </c>
    </row>
    <row r="58" spans="1:8" x14ac:dyDescent="0.25">
      <c r="A58" t="s">
        <v>133</v>
      </c>
      <c r="B58" t="s">
        <v>52</v>
      </c>
      <c r="C58" t="s">
        <v>134</v>
      </c>
      <c r="D58" t="s">
        <v>11</v>
      </c>
      <c r="E58" s="2">
        <v>45112</v>
      </c>
      <c r="G58">
        <v>54</v>
      </c>
      <c r="H58" t="s">
        <v>45</v>
      </c>
    </row>
    <row r="59" spans="1:8" x14ac:dyDescent="0.25">
      <c r="A59" t="s">
        <v>135</v>
      </c>
      <c r="B59" t="s">
        <v>28</v>
      </c>
      <c r="C59" t="s">
        <v>132</v>
      </c>
      <c r="D59" t="s">
        <v>37</v>
      </c>
      <c r="E59" s="2">
        <v>44148</v>
      </c>
      <c r="G59">
        <v>75</v>
      </c>
      <c r="H59" t="s">
        <v>45</v>
      </c>
    </row>
    <row r="60" spans="1:8" x14ac:dyDescent="0.25">
      <c r="A60" t="s">
        <v>136</v>
      </c>
      <c r="B60" t="s">
        <v>112</v>
      </c>
      <c r="C60" t="s">
        <v>25</v>
      </c>
      <c r="D60" t="s">
        <v>137</v>
      </c>
      <c r="E60" t="s">
        <v>138</v>
      </c>
      <c r="F60">
        <v>91655</v>
      </c>
      <c r="G60">
        <v>95</v>
      </c>
      <c r="H60" t="s">
        <v>45</v>
      </c>
    </row>
    <row r="61" spans="1:8" x14ac:dyDescent="0.25">
      <c r="A61" t="s">
        <v>139</v>
      </c>
      <c r="B61" t="s">
        <v>9</v>
      </c>
      <c r="C61" t="s">
        <v>10</v>
      </c>
      <c r="D61" t="s">
        <v>11</v>
      </c>
      <c r="E61" s="2">
        <v>45255</v>
      </c>
      <c r="F61">
        <v>49435</v>
      </c>
      <c r="H61" t="s">
        <v>107</v>
      </c>
    </row>
    <row r="62" spans="1:8" x14ac:dyDescent="0.25">
      <c r="A62" t="s">
        <v>140</v>
      </c>
      <c r="B62" t="s">
        <v>9</v>
      </c>
      <c r="C62" t="s">
        <v>36</v>
      </c>
      <c r="D62" t="s">
        <v>48</v>
      </c>
      <c r="E62" s="2">
        <v>45217</v>
      </c>
      <c r="F62">
        <v>110381</v>
      </c>
      <c r="G62">
        <v>93</v>
      </c>
      <c r="H62" t="s">
        <v>45</v>
      </c>
    </row>
    <row r="63" spans="1:8" x14ac:dyDescent="0.25">
      <c r="A63" t="s">
        <v>141</v>
      </c>
      <c r="B63" t="s">
        <v>43</v>
      </c>
      <c r="C63" t="s">
        <v>134</v>
      </c>
      <c r="D63" t="s">
        <v>96</v>
      </c>
      <c r="E63" s="2">
        <v>44079</v>
      </c>
      <c r="F63">
        <v>114748</v>
      </c>
      <c r="G63">
        <v>33</v>
      </c>
      <c r="H63" t="s">
        <v>12</v>
      </c>
    </row>
    <row r="64" spans="1:8" x14ac:dyDescent="0.25">
      <c r="A64" t="s">
        <v>142</v>
      </c>
      <c r="B64" t="s">
        <v>58</v>
      </c>
      <c r="C64" t="s">
        <v>32</v>
      </c>
      <c r="D64" t="s">
        <v>33</v>
      </c>
      <c r="E64" s="2">
        <v>42800</v>
      </c>
      <c r="F64">
        <v>63302</v>
      </c>
      <c r="G64">
        <v>91</v>
      </c>
      <c r="H64" t="s">
        <v>12</v>
      </c>
    </row>
    <row r="65" spans="1:8" x14ac:dyDescent="0.25">
      <c r="A65" t="s">
        <v>143</v>
      </c>
      <c r="B65" t="s">
        <v>58</v>
      </c>
      <c r="C65" t="s">
        <v>47</v>
      </c>
      <c r="D65" t="s">
        <v>83</v>
      </c>
      <c r="E65" s="2">
        <v>42122</v>
      </c>
      <c r="F65" t="s">
        <v>144</v>
      </c>
      <c r="G65">
        <v>64</v>
      </c>
      <c r="H65" t="s">
        <v>12</v>
      </c>
    </row>
    <row r="66" spans="1:8" x14ac:dyDescent="0.25">
      <c r="A66" t="s">
        <v>145</v>
      </c>
      <c r="B66" t="s">
        <v>52</v>
      </c>
      <c r="C66" t="s">
        <v>63</v>
      </c>
      <c r="D66" t="s">
        <v>75</v>
      </c>
      <c r="E66" s="2">
        <v>42838</v>
      </c>
      <c r="F66">
        <v>103891</v>
      </c>
      <c r="G66">
        <v>80</v>
      </c>
      <c r="H66" t="s">
        <v>12</v>
      </c>
    </row>
    <row r="67" spans="1:8" x14ac:dyDescent="0.25">
      <c r="A67" t="s">
        <v>146</v>
      </c>
      <c r="B67" t="s">
        <v>28</v>
      </c>
      <c r="C67" t="s">
        <v>63</v>
      </c>
      <c r="D67" t="s">
        <v>33</v>
      </c>
      <c r="E67" s="2">
        <v>44827</v>
      </c>
      <c r="G67">
        <v>46</v>
      </c>
      <c r="H67" t="s">
        <v>22</v>
      </c>
    </row>
    <row r="68" spans="1:8" x14ac:dyDescent="0.25">
      <c r="A68" t="s">
        <v>147</v>
      </c>
      <c r="B68" t="s">
        <v>28</v>
      </c>
      <c r="C68" t="s">
        <v>59</v>
      </c>
      <c r="D68" t="s">
        <v>60</v>
      </c>
      <c r="E68" t="s">
        <v>148</v>
      </c>
      <c r="F68" t="s">
        <v>149</v>
      </c>
      <c r="G68">
        <v>99</v>
      </c>
      <c r="H68" t="s">
        <v>12</v>
      </c>
    </row>
    <row r="69" spans="1:8" x14ac:dyDescent="0.25">
      <c r="A69" t="s">
        <v>150</v>
      </c>
      <c r="B69" t="s">
        <v>43</v>
      </c>
      <c r="C69" t="s">
        <v>47</v>
      </c>
      <c r="D69" t="s">
        <v>78</v>
      </c>
      <c r="E69" t="s">
        <v>151</v>
      </c>
      <c r="F69" t="s">
        <v>152</v>
      </c>
      <c r="H69" t="s">
        <v>45</v>
      </c>
    </row>
    <row r="70" spans="1:8" x14ac:dyDescent="0.25">
      <c r="A70" t="s">
        <v>153</v>
      </c>
      <c r="B70" t="s">
        <v>14</v>
      </c>
      <c r="C70" t="s">
        <v>19</v>
      </c>
      <c r="D70" t="s">
        <v>96</v>
      </c>
      <c r="E70" t="s">
        <v>154</v>
      </c>
      <c r="F70">
        <v>51567</v>
      </c>
      <c r="G70">
        <v>87</v>
      </c>
      <c r="H70" t="s">
        <v>115</v>
      </c>
    </row>
    <row r="71" spans="1:8" x14ac:dyDescent="0.25">
      <c r="A71" t="s">
        <v>155</v>
      </c>
      <c r="B71" t="s">
        <v>104</v>
      </c>
      <c r="C71" t="s">
        <v>53</v>
      </c>
      <c r="D71" t="s">
        <v>156</v>
      </c>
      <c r="E71" s="2">
        <v>44402</v>
      </c>
      <c r="G71">
        <v>36</v>
      </c>
      <c r="H71" t="s">
        <v>45</v>
      </c>
    </row>
    <row r="72" spans="1:8" x14ac:dyDescent="0.25">
      <c r="A72" t="s">
        <v>157</v>
      </c>
      <c r="B72" t="s">
        <v>58</v>
      </c>
      <c r="C72" t="s">
        <v>47</v>
      </c>
      <c r="D72" t="s">
        <v>96</v>
      </c>
      <c r="E72" s="2">
        <v>43008</v>
      </c>
      <c r="F72">
        <v>55270</v>
      </c>
      <c r="G72">
        <v>87</v>
      </c>
      <c r="H72" t="s">
        <v>45</v>
      </c>
    </row>
    <row r="73" spans="1:8" x14ac:dyDescent="0.25">
      <c r="A73" t="s">
        <v>158</v>
      </c>
      <c r="B73" t="s">
        <v>159</v>
      </c>
      <c r="C73" t="s">
        <v>132</v>
      </c>
      <c r="D73" t="s">
        <v>44</v>
      </c>
      <c r="E73" s="2">
        <v>42192</v>
      </c>
      <c r="F73">
        <v>65235</v>
      </c>
      <c r="G73">
        <v>97</v>
      </c>
      <c r="H73" t="s">
        <v>17</v>
      </c>
    </row>
    <row r="74" spans="1:8" x14ac:dyDescent="0.25">
      <c r="A74" t="s">
        <v>160</v>
      </c>
      <c r="B74" t="s">
        <v>24</v>
      </c>
      <c r="C74" t="s">
        <v>19</v>
      </c>
      <c r="D74" t="s">
        <v>44</v>
      </c>
      <c r="E74" s="2">
        <v>43283</v>
      </c>
      <c r="G74">
        <v>72</v>
      </c>
      <c r="H74" t="s">
        <v>22</v>
      </c>
    </row>
    <row r="75" spans="1:8" x14ac:dyDescent="0.25">
      <c r="A75" t="s">
        <v>161</v>
      </c>
      <c r="B75" t="s">
        <v>65</v>
      </c>
      <c r="C75" t="s">
        <v>19</v>
      </c>
      <c r="D75" t="s">
        <v>48</v>
      </c>
      <c r="E75" s="2">
        <v>44819</v>
      </c>
      <c r="G75">
        <v>65</v>
      </c>
      <c r="H75" t="s">
        <v>22</v>
      </c>
    </row>
    <row r="76" spans="1:8" x14ac:dyDescent="0.25">
      <c r="A76" t="s">
        <v>142</v>
      </c>
      <c r="B76" t="s">
        <v>58</v>
      </c>
      <c r="C76" t="s">
        <v>32</v>
      </c>
      <c r="D76" t="s">
        <v>33</v>
      </c>
      <c r="E76" s="2">
        <v>42800</v>
      </c>
      <c r="F76">
        <v>63302</v>
      </c>
      <c r="G76">
        <v>91</v>
      </c>
      <c r="H76" t="s">
        <v>12</v>
      </c>
    </row>
    <row r="77" spans="1:8" x14ac:dyDescent="0.25">
      <c r="A77" t="s">
        <v>162</v>
      </c>
      <c r="B77" t="s">
        <v>52</v>
      </c>
      <c r="C77" t="s">
        <v>19</v>
      </c>
      <c r="D77" t="s">
        <v>78</v>
      </c>
      <c r="E77" s="2">
        <v>42249</v>
      </c>
      <c r="G77">
        <v>67</v>
      </c>
      <c r="H77" t="s">
        <v>45</v>
      </c>
    </row>
    <row r="78" spans="1:8" x14ac:dyDescent="0.25">
      <c r="A78" t="s">
        <v>163</v>
      </c>
      <c r="B78" t="s">
        <v>112</v>
      </c>
      <c r="C78" t="s">
        <v>36</v>
      </c>
      <c r="D78" t="s">
        <v>164</v>
      </c>
      <c r="E78" t="s">
        <v>165</v>
      </c>
      <c r="F78">
        <v>48823</v>
      </c>
      <c r="G78">
        <v>34</v>
      </c>
      <c r="H78" t="s">
        <v>17</v>
      </c>
    </row>
    <row r="79" spans="1:8" x14ac:dyDescent="0.25">
      <c r="A79" t="s">
        <v>166</v>
      </c>
      <c r="B79" t="s">
        <v>52</v>
      </c>
      <c r="C79" t="s">
        <v>19</v>
      </c>
      <c r="D79" t="s">
        <v>75</v>
      </c>
      <c r="E79" s="2">
        <v>43575</v>
      </c>
      <c r="F79">
        <v>45196</v>
      </c>
      <c r="G79">
        <v>78</v>
      </c>
      <c r="H79" t="s">
        <v>22</v>
      </c>
    </row>
    <row r="80" spans="1:8" x14ac:dyDescent="0.25">
      <c r="A80" t="s">
        <v>167</v>
      </c>
      <c r="B80" t="s">
        <v>52</v>
      </c>
      <c r="C80" t="s">
        <v>41</v>
      </c>
      <c r="D80" t="s">
        <v>11</v>
      </c>
      <c r="E80" t="s">
        <v>168</v>
      </c>
      <c r="F80" t="s">
        <v>169</v>
      </c>
      <c r="G80">
        <v>61</v>
      </c>
      <c r="H80" t="s">
        <v>45</v>
      </c>
    </row>
    <row r="81" spans="1:8" x14ac:dyDescent="0.25">
      <c r="A81" t="s">
        <v>170</v>
      </c>
      <c r="B81" t="s">
        <v>9</v>
      </c>
      <c r="C81" t="s">
        <v>47</v>
      </c>
      <c r="D81" t="s">
        <v>44</v>
      </c>
      <c r="E81" t="s">
        <v>171</v>
      </c>
      <c r="F81">
        <v>70359</v>
      </c>
      <c r="G81">
        <v>74</v>
      </c>
      <c r="H81" t="s">
        <v>30</v>
      </c>
    </row>
    <row r="82" spans="1:8" x14ac:dyDescent="0.25">
      <c r="A82" t="s">
        <v>172</v>
      </c>
      <c r="B82" t="s">
        <v>93</v>
      </c>
      <c r="C82" t="s">
        <v>47</v>
      </c>
      <c r="D82" t="s">
        <v>60</v>
      </c>
      <c r="E82" s="2">
        <v>43599</v>
      </c>
      <c r="G82">
        <v>94</v>
      </c>
      <c r="H82" t="s">
        <v>17</v>
      </c>
    </row>
    <row r="83" spans="1:8" x14ac:dyDescent="0.25">
      <c r="A83" t="s">
        <v>89</v>
      </c>
      <c r="B83" t="s">
        <v>28</v>
      </c>
      <c r="C83" t="s">
        <v>15</v>
      </c>
      <c r="D83" t="s">
        <v>33</v>
      </c>
      <c r="E83" t="s">
        <v>90</v>
      </c>
      <c r="F83">
        <v>97055</v>
      </c>
      <c r="G83">
        <v>80</v>
      </c>
      <c r="H83" t="s">
        <v>45</v>
      </c>
    </row>
    <row r="84" spans="1:8" x14ac:dyDescent="0.25">
      <c r="A84" t="s">
        <v>173</v>
      </c>
      <c r="B84" t="s">
        <v>39</v>
      </c>
      <c r="C84" t="s">
        <v>132</v>
      </c>
      <c r="D84" t="s">
        <v>37</v>
      </c>
      <c r="E84" s="2">
        <v>42330</v>
      </c>
      <c r="F84">
        <v>86480</v>
      </c>
      <c r="H84" t="s">
        <v>17</v>
      </c>
    </row>
    <row r="85" spans="1:8" x14ac:dyDescent="0.25">
      <c r="A85" t="s">
        <v>174</v>
      </c>
      <c r="B85" t="s">
        <v>14</v>
      </c>
      <c r="C85" t="s">
        <v>29</v>
      </c>
      <c r="D85" t="s">
        <v>137</v>
      </c>
      <c r="E85" t="s">
        <v>175</v>
      </c>
      <c r="F85" t="s">
        <v>176</v>
      </c>
      <c r="G85">
        <v>75</v>
      </c>
      <c r="H85" t="s">
        <v>17</v>
      </c>
    </row>
    <row r="86" spans="1:8" x14ac:dyDescent="0.25">
      <c r="A86" t="s">
        <v>177</v>
      </c>
      <c r="B86" t="s">
        <v>104</v>
      </c>
      <c r="C86" t="s">
        <v>36</v>
      </c>
      <c r="D86" t="s">
        <v>11</v>
      </c>
      <c r="E86" s="2">
        <v>45171</v>
      </c>
      <c r="F86">
        <v>83724</v>
      </c>
      <c r="G86">
        <v>81</v>
      </c>
      <c r="H86" t="s">
        <v>115</v>
      </c>
    </row>
    <row r="87" spans="1:8" x14ac:dyDescent="0.25">
      <c r="A87" t="s">
        <v>178</v>
      </c>
      <c r="B87" t="s">
        <v>28</v>
      </c>
      <c r="C87" t="s">
        <v>53</v>
      </c>
      <c r="D87" t="s">
        <v>75</v>
      </c>
      <c r="E87" s="2">
        <v>44759</v>
      </c>
      <c r="F87">
        <v>98299</v>
      </c>
      <c r="G87">
        <v>61</v>
      </c>
      <c r="H87" t="s">
        <v>45</v>
      </c>
    </row>
    <row r="88" spans="1:8" x14ac:dyDescent="0.25">
      <c r="A88" t="s">
        <v>179</v>
      </c>
      <c r="B88" t="s">
        <v>112</v>
      </c>
      <c r="C88" t="s">
        <v>53</v>
      </c>
      <c r="D88" t="s">
        <v>26</v>
      </c>
      <c r="E88" t="s">
        <v>180</v>
      </c>
      <c r="G88">
        <v>68</v>
      </c>
      <c r="H88" t="s">
        <v>45</v>
      </c>
    </row>
    <row r="89" spans="1:8" x14ac:dyDescent="0.25">
      <c r="A89" t="s">
        <v>181</v>
      </c>
      <c r="B89" t="s">
        <v>24</v>
      </c>
      <c r="C89" t="s">
        <v>32</v>
      </c>
      <c r="D89" t="s">
        <v>83</v>
      </c>
      <c r="E89" t="s">
        <v>182</v>
      </c>
      <c r="F89">
        <v>52287</v>
      </c>
      <c r="G89">
        <v>70</v>
      </c>
      <c r="H89" t="s">
        <v>12</v>
      </c>
    </row>
    <row r="90" spans="1:8" x14ac:dyDescent="0.25">
      <c r="A90" t="s">
        <v>183</v>
      </c>
      <c r="B90" t="s">
        <v>14</v>
      </c>
      <c r="C90" t="s">
        <v>19</v>
      </c>
      <c r="D90" t="s">
        <v>11</v>
      </c>
      <c r="E90" s="2">
        <v>44073</v>
      </c>
      <c r="F90">
        <v>82633</v>
      </c>
      <c r="G90">
        <v>98</v>
      </c>
      <c r="H90" t="s">
        <v>17</v>
      </c>
    </row>
    <row r="91" spans="1:8" x14ac:dyDescent="0.25">
      <c r="A91" t="s">
        <v>184</v>
      </c>
      <c r="B91" t="s">
        <v>104</v>
      </c>
      <c r="C91" t="s">
        <v>134</v>
      </c>
      <c r="D91" t="s">
        <v>37</v>
      </c>
      <c r="E91" s="2">
        <v>44422</v>
      </c>
      <c r="F91">
        <v>46508</v>
      </c>
      <c r="G91">
        <v>34</v>
      </c>
      <c r="H91" t="s">
        <v>45</v>
      </c>
    </row>
    <row r="92" spans="1:8" x14ac:dyDescent="0.25">
      <c r="A92" t="s">
        <v>185</v>
      </c>
      <c r="B92" t="s">
        <v>9</v>
      </c>
      <c r="C92" t="s">
        <v>19</v>
      </c>
      <c r="D92" t="s">
        <v>137</v>
      </c>
      <c r="E92" t="s">
        <v>186</v>
      </c>
      <c r="F92">
        <v>86232</v>
      </c>
      <c r="G92">
        <v>93</v>
      </c>
      <c r="H92" t="s">
        <v>45</v>
      </c>
    </row>
    <row r="93" spans="1:8" x14ac:dyDescent="0.25">
      <c r="A93" t="s">
        <v>187</v>
      </c>
      <c r="B93" t="s">
        <v>52</v>
      </c>
      <c r="C93" t="s">
        <v>63</v>
      </c>
      <c r="D93" t="s">
        <v>83</v>
      </c>
      <c r="E93" t="s">
        <v>188</v>
      </c>
      <c r="F93" t="s">
        <v>189</v>
      </c>
      <c r="G93">
        <v>48</v>
      </c>
      <c r="H93" t="s">
        <v>45</v>
      </c>
    </row>
    <row r="94" spans="1:8" x14ac:dyDescent="0.25">
      <c r="A94" t="s">
        <v>190</v>
      </c>
      <c r="B94" t="s">
        <v>159</v>
      </c>
      <c r="C94" t="s">
        <v>19</v>
      </c>
      <c r="D94" t="s">
        <v>37</v>
      </c>
      <c r="E94" s="2">
        <v>43436</v>
      </c>
      <c r="F94">
        <v>68683</v>
      </c>
      <c r="G94">
        <v>90</v>
      </c>
      <c r="H94" t="s">
        <v>45</v>
      </c>
    </row>
    <row r="95" spans="1:8" x14ac:dyDescent="0.25">
      <c r="A95" t="s">
        <v>191</v>
      </c>
      <c r="B95" t="s">
        <v>28</v>
      </c>
      <c r="C95" t="s">
        <v>59</v>
      </c>
      <c r="D95" t="s">
        <v>26</v>
      </c>
      <c r="E95" s="2">
        <v>43639</v>
      </c>
      <c r="F95">
        <v>83932</v>
      </c>
      <c r="G95">
        <v>57</v>
      </c>
      <c r="H95" t="s">
        <v>22</v>
      </c>
    </row>
    <row r="96" spans="1:8" x14ac:dyDescent="0.25">
      <c r="A96" t="s">
        <v>192</v>
      </c>
      <c r="B96" t="s">
        <v>39</v>
      </c>
      <c r="C96" t="s">
        <v>134</v>
      </c>
      <c r="D96" t="s">
        <v>96</v>
      </c>
      <c r="E96" s="2">
        <v>42304</v>
      </c>
      <c r="F96">
        <v>56073</v>
      </c>
      <c r="G96">
        <v>79</v>
      </c>
      <c r="H96" t="s">
        <v>45</v>
      </c>
    </row>
    <row r="97" spans="1:8" x14ac:dyDescent="0.25">
      <c r="A97" t="s">
        <v>193</v>
      </c>
      <c r="B97" t="s">
        <v>104</v>
      </c>
      <c r="C97" t="s">
        <v>32</v>
      </c>
      <c r="D97" t="s">
        <v>20</v>
      </c>
      <c r="E97" s="2">
        <v>43270</v>
      </c>
      <c r="F97" t="s">
        <v>194</v>
      </c>
      <c r="G97">
        <v>66</v>
      </c>
      <c r="H97" t="s">
        <v>45</v>
      </c>
    </row>
    <row r="98" spans="1:8" x14ac:dyDescent="0.25">
      <c r="A98" t="s">
        <v>195</v>
      </c>
      <c r="B98" t="s">
        <v>28</v>
      </c>
      <c r="C98" t="s">
        <v>47</v>
      </c>
      <c r="D98" t="s">
        <v>164</v>
      </c>
      <c r="E98" s="2">
        <v>43112</v>
      </c>
      <c r="F98">
        <v>67414</v>
      </c>
      <c r="G98">
        <v>84</v>
      </c>
      <c r="H98" t="s">
        <v>30</v>
      </c>
    </row>
    <row r="99" spans="1:8" x14ac:dyDescent="0.25">
      <c r="A99" t="s">
        <v>196</v>
      </c>
      <c r="B99" t="s">
        <v>159</v>
      </c>
      <c r="C99" t="s">
        <v>19</v>
      </c>
      <c r="D99" t="s">
        <v>44</v>
      </c>
      <c r="E99" s="2">
        <v>42008</v>
      </c>
      <c r="F99" t="s">
        <v>197</v>
      </c>
      <c r="G99">
        <v>61</v>
      </c>
      <c r="H99" t="s">
        <v>45</v>
      </c>
    </row>
    <row r="100" spans="1:8" x14ac:dyDescent="0.25">
      <c r="A100" t="s">
        <v>198</v>
      </c>
      <c r="C100" t="s">
        <v>29</v>
      </c>
      <c r="D100" t="s">
        <v>44</v>
      </c>
      <c r="E100" s="2">
        <v>43439</v>
      </c>
      <c r="F100">
        <v>80140</v>
      </c>
      <c r="G100">
        <v>58</v>
      </c>
      <c r="H100" t="s">
        <v>45</v>
      </c>
    </row>
    <row r="101" spans="1:8" x14ac:dyDescent="0.25">
      <c r="A101" t="s">
        <v>199</v>
      </c>
      <c r="B101" t="s">
        <v>24</v>
      </c>
      <c r="C101" t="s">
        <v>32</v>
      </c>
      <c r="D101" t="s">
        <v>11</v>
      </c>
      <c r="E101" s="2">
        <v>44482</v>
      </c>
      <c r="F101">
        <v>73087</v>
      </c>
      <c r="G101">
        <v>69</v>
      </c>
      <c r="H101" t="s">
        <v>45</v>
      </c>
    </row>
    <row r="102" spans="1:8" x14ac:dyDescent="0.25">
      <c r="A102" t="s">
        <v>200</v>
      </c>
      <c r="B102" t="s">
        <v>52</v>
      </c>
      <c r="C102" t="s">
        <v>32</v>
      </c>
      <c r="D102" t="s">
        <v>78</v>
      </c>
      <c r="E102" s="2">
        <v>44081</v>
      </c>
      <c r="F102">
        <v>95292</v>
      </c>
      <c r="G102">
        <v>34</v>
      </c>
      <c r="H102" t="s">
        <v>12</v>
      </c>
    </row>
    <row r="103" spans="1:8" x14ac:dyDescent="0.25">
      <c r="A103" t="s">
        <v>201</v>
      </c>
      <c r="B103" t="s">
        <v>24</v>
      </c>
      <c r="C103" t="s">
        <v>59</v>
      </c>
      <c r="D103" t="s">
        <v>20</v>
      </c>
      <c r="E103" t="s">
        <v>202</v>
      </c>
      <c r="G103">
        <v>33</v>
      </c>
      <c r="H103" t="s">
        <v>12</v>
      </c>
    </row>
    <row r="104" spans="1:8" x14ac:dyDescent="0.25">
      <c r="A104" t="s">
        <v>203</v>
      </c>
      <c r="B104" t="s">
        <v>52</v>
      </c>
      <c r="C104" t="s">
        <v>68</v>
      </c>
      <c r="D104" t="s">
        <v>16</v>
      </c>
      <c r="E104" t="s">
        <v>204</v>
      </c>
      <c r="F104">
        <v>101750</v>
      </c>
      <c r="G104">
        <v>84</v>
      </c>
      <c r="H104" t="s">
        <v>107</v>
      </c>
    </row>
    <row r="105" spans="1:8" x14ac:dyDescent="0.25">
      <c r="A105" t="s">
        <v>205</v>
      </c>
      <c r="B105" t="s">
        <v>104</v>
      </c>
      <c r="C105" t="s">
        <v>19</v>
      </c>
      <c r="D105" t="s">
        <v>54</v>
      </c>
      <c r="E105" t="s">
        <v>206</v>
      </c>
      <c r="F105">
        <v>82992</v>
      </c>
      <c r="G105">
        <v>79</v>
      </c>
      <c r="H105" t="s">
        <v>45</v>
      </c>
    </row>
    <row r="106" spans="1:8" x14ac:dyDescent="0.25">
      <c r="A106" t="s">
        <v>207</v>
      </c>
      <c r="B106" t="s">
        <v>159</v>
      </c>
      <c r="C106" t="s">
        <v>63</v>
      </c>
      <c r="D106" t="s">
        <v>11</v>
      </c>
      <c r="E106" s="2">
        <v>45055</v>
      </c>
      <c r="F106" t="s">
        <v>208</v>
      </c>
      <c r="G106">
        <v>51</v>
      </c>
      <c r="H106" t="s">
        <v>12</v>
      </c>
    </row>
    <row r="107" spans="1:8" x14ac:dyDescent="0.25">
      <c r="A107" t="s">
        <v>209</v>
      </c>
      <c r="B107" t="s">
        <v>24</v>
      </c>
      <c r="C107" t="s">
        <v>29</v>
      </c>
      <c r="D107" t="s">
        <v>37</v>
      </c>
      <c r="E107" s="2">
        <v>43122</v>
      </c>
      <c r="F107">
        <v>89060</v>
      </c>
      <c r="G107">
        <v>58</v>
      </c>
      <c r="H107" t="s">
        <v>12</v>
      </c>
    </row>
    <row r="108" spans="1:8" x14ac:dyDescent="0.25">
      <c r="A108" t="s">
        <v>210</v>
      </c>
      <c r="B108" t="s">
        <v>65</v>
      </c>
      <c r="C108" t="s">
        <v>19</v>
      </c>
      <c r="D108" t="s">
        <v>11</v>
      </c>
      <c r="E108" s="2">
        <v>43879</v>
      </c>
      <c r="F108">
        <v>53786</v>
      </c>
      <c r="G108">
        <v>98</v>
      </c>
      <c r="H108" t="s">
        <v>45</v>
      </c>
    </row>
    <row r="109" spans="1:8" x14ac:dyDescent="0.25">
      <c r="A109" t="s">
        <v>211</v>
      </c>
      <c r="B109" t="s">
        <v>9</v>
      </c>
      <c r="C109" t="s">
        <v>32</v>
      </c>
      <c r="D109" t="s">
        <v>33</v>
      </c>
      <c r="E109" t="s">
        <v>212</v>
      </c>
      <c r="F109">
        <v>81167</v>
      </c>
      <c r="H109" t="s">
        <v>45</v>
      </c>
    </row>
    <row r="110" spans="1:8" x14ac:dyDescent="0.25">
      <c r="A110" t="s">
        <v>213</v>
      </c>
      <c r="B110" t="s">
        <v>159</v>
      </c>
      <c r="C110" t="s">
        <v>53</v>
      </c>
      <c r="D110" t="s">
        <v>16</v>
      </c>
      <c r="E110" s="2">
        <v>44349</v>
      </c>
      <c r="F110">
        <v>66688</v>
      </c>
      <c r="G110">
        <v>40</v>
      </c>
      <c r="H110" t="s">
        <v>107</v>
      </c>
    </row>
    <row r="111" spans="1:8" x14ac:dyDescent="0.25">
      <c r="A111" t="s">
        <v>214</v>
      </c>
      <c r="B111" t="s">
        <v>65</v>
      </c>
      <c r="C111" t="s">
        <v>59</v>
      </c>
      <c r="D111" t="s">
        <v>11</v>
      </c>
      <c r="E111" s="2">
        <v>44394</v>
      </c>
      <c r="F111">
        <v>91672</v>
      </c>
      <c r="G111">
        <v>88</v>
      </c>
      <c r="H111" t="s">
        <v>17</v>
      </c>
    </row>
    <row r="112" spans="1:8" x14ac:dyDescent="0.25">
      <c r="A112" t="s">
        <v>215</v>
      </c>
      <c r="B112" t="s">
        <v>39</v>
      </c>
      <c r="C112" t="s">
        <v>19</v>
      </c>
      <c r="D112" t="s">
        <v>156</v>
      </c>
      <c r="E112" t="s">
        <v>216</v>
      </c>
      <c r="F112" t="s">
        <v>217</v>
      </c>
      <c r="G112">
        <v>77</v>
      </c>
      <c r="H112" t="s">
        <v>12</v>
      </c>
    </row>
    <row r="113" spans="1:8" x14ac:dyDescent="0.25">
      <c r="A113" t="s">
        <v>218</v>
      </c>
      <c r="B113" t="s">
        <v>93</v>
      </c>
      <c r="C113" t="s">
        <v>47</v>
      </c>
      <c r="D113" t="s">
        <v>78</v>
      </c>
      <c r="E113" s="2">
        <v>43513</v>
      </c>
      <c r="F113" t="s">
        <v>219</v>
      </c>
      <c r="G113">
        <v>91</v>
      </c>
      <c r="H113" t="s">
        <v>12</v>
      </c>
    </row>
    <row r="114" spans="1:8" x14ac:dyDescent="0.25">
      <c r="A114" t="s">
        <v>220</v>
      </c>
      <c r="B114" t="s">
        <v>39</v>
      </c>
      <c r="C114" t="s">
        <v>29</v>
      </c>
      <c r="D114" t="s">
        <v>44</v>
      </c>
      <c r="E114" s="2">
        <v>42625</v>
      </c>
      <c r="F114">
        <v>114681</v>
      </c>
      <c r="G114">
        <v>36</v>
      </c>
      <c r="H114" t="s">
        <v>17</v>
      </c>
    </row>
    <row r="115" spans="1:8" x14ac:dyDescent="0.25">
      <c r="A115" t="s">
        <v>221</v>
      </c>
      <c r="B115" t="s">
        <v>28</v>
      </c>
      <c r="C115" t="s">
        <v>59</v>
      </c>
      <c r="D115" t="s">
        <v>37</v>
      </c>
      <c r="E115" t="s">
        <v>222</v>
      </c>
      <c r="F115" t="s">
        <v>223</v>
      </c>
      <c r="G115">
        <v>72</v>
      </c>
      <c r="H115" t="s">
        <v>45</v>
      </c>
    </row>
    <row r="116" spans="1:8" x14ac:dyDescent="0.25">
      <c r="A116" t="s">
        <v>224</v>
      </c>
      <c r="B116" t="s">
        <v>70</v>
      </c>
      <c r="C116" t="s">
        <v>10</v>
      </c>
      <c r="D116" t="s">
        <v>16</v>
      </c>
      <c r="E116" s="2">
        <v>43996</v>
      </c>
      <c r="F116" t="s">
        <v>225</v>
      </c>
      <c r="G116">
        <v>87</v>
      </c>
      <c r="H116" t="s">
        <v>12</v>
      </c>
    </row>
    <row r="117" spans="1:8" x14ac:dyDescent="0.25">
      <c r="A117" t="s">
        <v>226</v>
      </c>
      <c r="B117" t="s">
        <v>58</v>
      </c>
      <c r="C117" t="s">
        <v>25</v>
      </c>
      <c r="D117" t="s">
        <v>20</v>
      </c>
      <c r="E117" t="s">
        <v>227</v>
      </c>
      <c r="F117">
        <v>118008</v>
      </c>
      <c r="G117">
        <v>71</v>
      </c>
      <c r="H117" t="s">
        <v>12</v>
      </c>
    </row>
    <row r="118" spans="1:8" x14ac:dyDescent="0.25">
      <c r="A118" t="s">
        <v>228</v>
      </c>
      <c r="B118" t="s">
        <v>28</v>
      </c>
      <c r="C118" t="s">
        <v>47</v>
      </c>
      <c r="D118" t="s">
        <v>11</v>
      </c>
      <c r="E118" t="s">
        <v>229</v>
      </c>
      <c r="F118">
        <v>74370</v>
      </c>
      <c r="G118">
        <v>82</v>
      </c>
      <c r="H118" t="s">
        <v>45</v>
      </c>
    </row>
    <row r="119" spans="1:8" x14ac:dyDescent="0.25">
      <c r="A119" t="s">
        <v>230</v>
      </c>
      <c r="B119" t="s">
        <v>112</v>
      </c>
      <c r="C119" t="s">
        <v>41</v>
      </c>
      <c r="D119" t="s">
        <v>20</v>
      </c>
      <c r="E119" s="2">
        <v>44674</v>
      </c>
      <c r="F119">
        <v>77819</v>
      </c>
      <c r="G119">
        <v>79</v>
      </c>
      <c r="H119" t="s">
        <v>17</v>
      </c>
    </row>
    <row r="120" spans="1:8" x14ac:dyDescent="0.25">
      <c r="A120" t="s">
        <v>231</v>
      </c>
      <c r="B120" t="s">
        <v>52</v>
      </c>
      <c r="C120" t="s">
        <v>47</v>
      </c>
      <c r="D120" t="s">
        <v>60</v>
      </c>
      <c r="E120" t="s">
        <v>232</v>
      </c>
      <c r="F120">
        <v>48748</v>
      </c>
      <c r="G120">
        <v>83</v>
      </c>
      <c r="H120" t="s">
        <v>45</v>
      </c>
    </row>
    <row r="121" spans="1:8" x14ac:dyDescent="0.25">
      <c r="A121" t="s">
        <v>233</v>
      </c>
      <c r="B121" t="s">
        <v>65</v>
      </c>
      <c r="C121" t="s">
        <v>41</v>
      </c>
      <c r="D121" t="s">
        <v>33</v>
      </c>
      <c r="E121" s="2">
        <v>43971</v>
      </c>
      <c r="F121">
        <v>101997</v>
      </c>
      <c r="G121">
        <v>38</v>
      </c>
      <c r="H121" t="s">
        <v>115</v>
      </c>
    </row>
    <row r="122" spans="1:8" x14ac:dyDescent="0.25">
      <c r="A122" t="s">
        <v>234</v>
      </c>
      <c r="B122" t="s">
        <v>93</v>
      </c>
      <c r="C122" t="s">
        <v>41</v>
      </c>
      <c r="D122" t="s">
        <v>96</v>
      </c>
      <c r="E122" t="s">
        <v>235</v>
      </c>
      <c r="F122">
        <v>115260</v>
      </c>
      <c r="G122">
        <v>77</v>
      </c>
      <c r="H122" t="s">
        <v>45</v>
      </c>
    </row>
    <row r="123" spans="1:8" x14ac:dyDescent="0.25">
      <c r="A123" t="s">
        <v>236</v>
      </c>
      <c r="B123" t="s">
        <v>93</v>
      </c>
      <c r="C123" t="s">
        <v>36</v>
      </c>
      <c r="D123" t="s">
        <v>44</v>
      </c>
      <c r="E123" s="2">
        <v>44500</v>
      </c>
      <c r="G123">
        <v>49</v>
      </c>
      <c r="H123" t="s">
        <v>12</v>
      </c>
    </row>
    <row r="124" spans="1:8" x14ac:dyDescent="0.25">
      <c r="A124" t="s">
        <v>237</v>
      </c>
      <c r="B124" t="s">
        <v>104</v>
      </c>
      <c r="C124" t="s">
        <v>10</v>
      </c>
      <c r="D124" t="s">
        <v>20</v>
      </c>
      <c r="E124" t="s">
        <v>238</v>
      </c>
      <c r="G124">
        <v>69</v>
      </c>
      <c r="H124" t="s">
        <v>107</v>
      </c>
    </row>
    <row r="125" spans="1:8" x14ac:dyDescent="0.25">
      <c r="A125" t="s">
        <v>239</v>
      </c>
      <c r="B125" t="s">
        <v>58</v>
      </c>
      <c r="C125" t="s">
        <v>53</v>
      </c>
      <c r="D125" t="s">
        <v>44</v>
      </c>
      <c r="E125" s="2">
        <v>42956</v>
      </c>
      <c r="G125">
        <v>76</v>
      </c>
      <c r="H125" t="s">
        <v>12</v>
      </c>
    </row>
    <row r="126" spans="1:8" x14ac:dyDescent="0.25">
      <c r="A126" t="s">
        <v>240</v>
      </c>
      <c r="B126" t="s">
        <v>104</v>
      </c>
      <c r="C126" t="s">
        <v>41</v>
      </c>
      <c r="D126" t="s">
        <v>164</v>
      </c>
      <c r="E126" s="2">
        <v>44930</v>
      </c>
      <c r="F126">
        <v>60623</v>
      </c>
      <c r="G126">
        <v>78</v>
      </c>
      <c r="H126" t="s">
        <v>45</v>
      </c>
    </row>
    <row r="127" spans="1:8" x14ac:dyDescent="0.25">
      <c r="A127" t="s">
        <v>241</v>
      </c>
      <c r="B127" t="s">
        <v>65</v>
      </c>
      <c r="C127" t="s">
        <v>32</v>
      </c>
      <c r="D127" t="s">
        <v>156</v>
      </c>
      <c r="E127" t="s">
        <v>242</v>
      </c>
      <c r="F127" t="s">
        <v>243</v>
      </c>
      <c r="G127">
        <v>93</v>
      </c>
      <c r="H127" t="s">
        <v>12</v>
      </c>
    </row>
    <row r="128" spans="1:8" x14ac:dyDescent="0.25">
      <c r="A128" t="s">
        <v>244</v>
      </c>
      <c r="B128" t="s">
        <v>43</v>
      </c>
      <c r="C128" t="s">
        <v>36</v>
      </c>
      <c r="D128" t="s">
        <v>16</v>
      </c>
      <c r="E128" s="2">
        <v>44653</v>
      </c>
      <c r="F128">
        <v>88155</v>
      </c>
      <c r="G128">
        <v>68</v>
      </c>
      <c r="H128" t="s">
        <v>45</v>
      </c>
    </row>
    <row r="129" spans="1:8" x14ac:dyDescent="0.25">
      <c r="A129" t="s">
        <v>245</v>
      </c>
      <c r="B129" t="s">
        <v>159</v>
      </c>
      <c r="C129" t="s">
        <v>59</v>
      </c>
      <c r="D129" t="s">
        <v>16</v>
      </c>
      <c r="E129" t="s">
        <v>246</v>
      </c>
      <c r="F129">
        <v>107903</v>
      </c>
      <c r="G129">
        <v>42</v>
      </c>
      <c r="H129" t="s">
        <v>17</v>
      </c>
    </row>
    <row r="130" spans="1:8" x14ac:dyDescent="0.25">
      <c r="A130" t="s">
        <v>247</v>
      </c>
      <c r="B130" t="s">
        <v>159</v>
      </c>
      <c r="C130" t="s">
        <v>53</v>
      </c>
      <c r="D130" t="s">
        <v>11</v>
      </c>
      <c r="E130" s="2">
        <v>43305</v>
      </c>
      <c r="F130">
        <v>62818</v>
      </c>
      <c r="G130">
        <v>34</v>
      </c>
      <c r="H130" t="s">
        <v>17</v>
      </c>
    </row>
    <row r="131" spans="1:8" x14ac:dyDescent="0.25">
      <c r="A131" t="s">
        <v>248</v>
      </c>
      <c r="B131" t="s">
        <v>112</v>
      </c>
      <c r="C131" t="s">
        <v>53</v>
      </c>
      <c r="D131" t="s">
        <v>156</v>
      </c>
      <c r="E131" s="2">
        <v>43301</v>
      </c>
      <c r="F131">
        <v>85151</v>
      </c>
      <c r="G131">
        <v>35</v>
      </c>
      <c r="H131" t="s">
        <v>17</v>
      </c>
    </row>
    <row r="132" spans="1:8" x14ac:dyDescent="0.25">
      <c r="A132" t="s">
        <v>249</v>
      </c>
      <c r="B132" t="s">
        <v>52</v>
      </c>
      <c r="C132" t="s">
        <v>63</v>
      </c>
      <c r="D132" t="s">
        <v>75</v>
      </c>
      <c r="E132" t="s">
        <v>250</v>
      </c>
      <c r="F132">
        <v>46390</v>
      </c>
      <c r="G132">
        <v>95</v>
      </c>
      <c r="H132" t="s">
        <v>45</v>
      </c>
    </row>
    <row r="133" spans="1:8" x14ac:dyDescent="0.25">
      <c r="A133" t="s">
        <v>173</v>
      </c>
      <c r="B133" t="s">
        <v>39</v>
      </c>
      <c r="C133" t="s">
        <v>132</v>
      </c>
      <c r="D133" t="s">
        <v>37</v>
      </c>
      <c r="E133" s="2">
        <v>42330</v>
      </c>
      <c r="F133">
        <v>86480</v>
      </c>
      <c r="H133" t="s">
        <v>17</v>
      </c>
    </row>
    <row r="134" spans="1:8" x14ac:dyDescent="0.25">
      <c r="A134" t="s">
        <v>251</v>
      </c>
      <c r="B134" t="s">
        <v>24</v>
      </c>
      <c r="C134" t="s">
        <v>25</v>
      </c>
      <c r="D134" t="s">
        <v>156</v>
      </c>
      <c r="E134" s="2">
        <v>44643</v>
      </c>
      <c r="F134">
        <v>111920</v>
      </c>
      <c r="G134">
        <v>90</v>
      </c>
      <c r="H134" t="s">
        <v>22</v>
      </c>
    </row>
    <row r="135" spans="1:8" x14ac:dyDescent="0.25">
      <c r="A135" t="s">
        <v>252</v>
      </c>
      <c r="B135" t="s">
        <v>112</v>
      </c>
      <c r="C135" t="s">
        <v>134</v>
      </c>
      <c r="D135" t="s">
        <v>137</v>
      </c>
      <c r="E135" t="s">
        <v>253</v>
      </c>
      <c r="F135" t="s">
        <v>254</v>
      </c>
      <c r="G135">
        <v>42</v>
      </c>
      <c r="H135" t="s">
        <v>17</v>
      </c>
    </row>
    <row r="136" spans="1:8" x14ac:dyDescent="0.25">
      <c r="A136" t="s">
        <v>255</v>
      </c>
      <c r="B136" t="s">
        <v>93</v>
      </c>
      <c r="C136" t="s">
        <v>29</v>
      </c>
      <c r="D136" t="s">
        <v>44</v>
      </c>
      <c r="E136" t="s">
        <v>256</v>
      </c>
      <c r="F136" t="s">
        <v>257</v>
      </c>
      <c r="G136">
        <v>88</v>
      </c>
      <c r="H136" t="s">
        <v>115</v>
      </c>
    </row>
    <row r="137" spans="1:8" x14ac:dyDescent="0.25">
      <c r="A137" t="s">
        <v>258</v>
      </c>
      <c r="B137" t="s">
        <v>104</v>
      </c>
      <c r="C137" t="s">
        <v>15</v>
      </c>
      <c r="D137" t="s">
        <v>37</v>
      </c>
      <c r="E137" t="s">
        <v>259</v>
      </c>
      <c r="F137">
        <v>108395</v>
      </c>
      <c r="G137">
        <v>78</v>
      </c>
      <c r="H137" t="s">
        <v>30</v>
      </c>
    </row>
    <row r="138" spans="1:8" x14ac:dyDescent="0.25">
      <c r="A138" t="s">
        <v>260</v>
      </c>
      <c r="B138" t="s">
        <v>104</v>
      </c>
      <c r="C138" t="s">
        <v>32</v>
      </c>
      <c r="D138" t="s">
        <v>26</v>
      </c>
      <c r="E138" s="2">
        <v>43091</v>
      </c>
      <c r="F138">
        <v>88005</v>
      </c>
      <c r="G138">
        <v>69</v>
      </c>
      <c r="H138" t="s">
        <v>45</v>
      </c>
    </row>
    <row r="139" spans="1:8" x14ac:dyDescent="0.25">
      <c r="A139" t="s">
        <v>85</v>
      </c>
      <c r="B139" t="s">
        <v>43</v>
      </c>
      <c r="C139" t="s">
        <v>36</v>
      </c>
      <c r="D139" t="s">
        <v>86</v>
      </c>
      <c r="E139" t="s">
        <v>87</v>
      </c>
      <c r="F139">
        <v>85312</v>
      </c>
      <c r="G139">
        <v>66</v>
      </c>
      <c r="H139" t="s">
        <v>12</v>
      </c>
    </row>
    <row r="140" spans="1:8" x14ac:dyDescent="0.25">
      <c r="A140" t="s">
        <v>261</v>
      </c>
      <c r="B140" t="s">
        <v>52</v>
      </c>
      <c r="C140" t="s">
        <v>132</v>
      </c>
      <c r="D140" t="s">
        <v>60</v>
      </c>
      <c r="E140" t="s">
        <v>262</v>
      </c>
      <c r="F140">
        <v>83007</v>
      </c>
      <c r="G140">
        <v>82</v>
      </c>
      <c r="H140" t="s">
        <v>45</v>
      </c>
    </row>
    <row r="141" spans="1:8" x14ac:dyDescent="0.25">
      <c r="A141" t="s">
        <v>263</v>
      </c>
      <c r="B141" t="s">
        <v>112</v>
      </c>
      <c r="C141" t="s">
        <v>63</v>
      </c>
      <c r="D141" t="s">
        <v>11</v>
      </c>
      <c r="E141" s="2">
        <v>43360</v>
      </c>
      <c r="F141" t="s">
        <v>264</v>
      </c>
      <c r="G141">
        <v>68</v>
      </c>
      <c r="H141" t="s">
        <v>17</v>
      </c>
    </row>
    <row r="142" spans="1:8" x14ac:dyDescent="0.25">
      <c r="A142" t="s">
        <v>265</v>
      </c>
      <c r="B142" t="s">
        <v>65</v>
      </c>
      <c r="C142" t="s">
        <v>36</v>
      </c>
      <c r="D142" t="s">
        <v>48</v>
      </c>
      <c r="E142" s="2">
        <v>44375</v>
      </c>
      <c r="G142">
        <v>52</v>
      </c>
      <c r="H142" t="s">
        <v>45</v>
      </c>
    </row>
    <row r="143" spans="1:8" x14ac:dyDescent="0.25">
      <c r="A143" t="s">
        <v>266</v>
      </c>
      <c r="B143" t="s">
        <v>14</v>
      </c>
      <c r="C143" t="s">
        <v>32</v>
      </c>
      <c r="D143" t="s">
        <v>33</v>
      </c>
      <c r="E143" t="s">
        <v>267</v>
      </c>
      <c r="F143">
        <v>50399</v>
      </c>
      <c r="G143">
        <v>92</v>
      </c>
      <c r="H143" t="s">
        <v>107</v>
      </c>
    </row>
    <row r="144" spans="1:8" x14ac:dyDescent="0.25">
      <c r="A144" t="s">
        <v>268</v>
      </c>
      <c r="B144" t="s">
        <v>14</v>
      </c>
      <c r="C144" t="s">
        <v>53</v>
      </c>
      <c r="D144" t="s">
        <v>26</v>
      </c>
      <c r="E144" t="s">
        <v>269</v>
      </c>
      <c r="G144">
        <v>62</v>
      </c>
      <c r="H144" t="s">
        <v>17</v>
      </c>
    </row>
    <row r="145" spans="1:8" x14ac:dyDescent="0.25">
      <c r="A145" t="s">
        <v>270</v>
      </c>
      <c r="B145" t="s">
        <v>24</v>
      </c>
      <c r="C145" t="s">
        <v>15</v>
      </c>
      <c r="D145" t="s">
        <v>33</v>
      </c>
      <c r="E145" s="2">
        <v>43257</v>
      </c>
      <c r="F145">
        <v>52720</v>
      </c>
      <c r="G145">
        <v>68</v>
      </c>
      <c r="H145" t="s">
        <v>17</v>
      </c>
    </row>
    <row r="146" spans="1:8" x14ac:dyDescent="0.25">
      <c r="A146" t="s">
        <v>271</v>
      </c>
      <c r="B146" t="s">
        <v>93</v>
      </c>
      <c r="C146" t="s">
        <v>19</v>
      </c>
      <c r="D146" t="s">
        <v>33</v>
      </c>
      <c r="E146" s="2">
        <v>42932</v>
      </c>
      <c r="F146">
        <v>65065</v>
      </c>
      <c r="G146">
        <v>98</v>
      </c>
      <c r="H146" t="s">
        <v>45</v>
      </c>
    </row>
    <row r="147" spans="1:8" x14ac:dyDescent="0.25">
      <c r="A147" t="s">
        <v>272</v>
      </c>
      <c r="B147" t="s">
        <v>104</v>
      </c>
      <c r="C147" t="s">
        <v>15</v>
      </c>
      <c r="D147" t="s">
        <v>44</v>
      </c>
      <c r="E147" s="2">
        <v>42175</v>
      </c>
      <c r="G147">
        <v>94</v>
      </c>
      <c r="H147" t="s">
        <v>115</v>
      </c>
    </row>
    <row r="148" spans="1:8" x14ac:dyDescent="0.25">
      <c r="A148" t="s">
        <v>273</v>
      </c>
      <c r="B148" t="s">
        <v>104</v>
      </c>
      <c r="C148" t="s">
        <v>15</v>
      </c>
      <c r="D148" t="s">
        <v>37</v>
      </c>
      <c r="E148" s="2">
        <v>43609</v>
      </c>
      <c r="F148" t="s">
        <v>274</v>
      </c>
      <c r="G148">
        <v>57</v>
      </c>
      <c r="H148" t="s">
        <v>115</v>
      </c>
    </row>
    <row r="149" spans="1:8" x14ac:dyDescent="0.25">
      <c r="A149" t="s">
        <v>275</v>
      </c>
      <c r="B149" t="s">
        <v>24</v>
      </c>
      <c r="C149" t="s">
        <v>63</v>
      </c>
      <c r="D149" t="s">
        <v>83</v>
      </c>
      <c r="E149" s="2">
        <v>43887</v>
      </c>
      <c r="G149">
        <v>96</v>
      </c>
      <c r="H149" t="s">
        <v>12</v>
      </c>
    </row>
    <row r="150" spans="1:8" x14ac:dyDescent="0.25">
      <c r="A150" t="s">
        <v>276</v>
      </c>
      <c r="B150" t="s">
        <v>14</v>
      </c>
      <c r="C150" t="s">
        <v>63</v>
      </c>
      <c r="D150" t="s">
        <v>96</v>
      </c>
      <c r="E150" s="2">
        <v>44991</v>
      </c>
      <c r="F150">
        <v>106896</v>
      </c>
      <c r="G150">
        <v>52</v>
      </c>
      <c r="H150" t="s">
        <v>22</v>
      </c>
    </row>
    <row r="151" spans="1:8" x14ac:dyDescent="0.25">
      <c r="A151" t="s">
        <v>277</v>
      </c>
      <c r="C151" t="s">
        <v>59</v>
      </c>
      <c r="D151" t="s">
        <v>20</v>
      </c>
      <c r="E151" t="s">
        <v>278</v>
      </c>
      <c r="F151">
        <v>112887</v>
      </c>
      <c r="G151">
        <v>59</v>
      </c>
      <c r="H151" t="s">
        <v>45</v>
      </c>
    </row>
    <row r="152" spans="1:8" x14ac:dyDescent="0.25">
      <c r="A152" t="s">
        <v>214</v>
      </c>
      <c r="B152" t="s">
        <v>65</v>
      </c>
      <c r="C152" t="s">
        <v>59</v>
      </c>
      <c r="D152" t="s">
        <v>11</v>
      </c>
      <c r="E152" s="2">
        <v>44394</v>
      </c>
      <c r="F152">
        <v>91672</v>
      </c>
      <c r="G152">
        <v>88</v>
      </c>
      <c r="H152" t="s">
        <v>17</v>
      </c>
    </row>
    <row r="153" spans="1:8" x14ac:dyDescent="0.25">
      <c r="A153" t="s">
        <v>279</v>
      </c>
      <c r="B153" t="s">
        <v>159</v>
      </c>
      <c r="C153" t="s">
        <v>41</v>
      </c>
      <c r="D153" t="s">
        <v>26</v>
      </c>
      <c r="E153" s="2">
        <v>45037</v>
      </c>
      <c r="F153">
        <v>85457</v>
      </c>
      <c r="G153">
        <v>79</v>
      </c>
      <c r="H153" t="s">
        <v>17</v>
      </c>
    </row>
    <row r="154" spans="1:8" x14ac:dyDescent="0.25">
      <c r="A154" t="s">
        <v>280</v>
      </c>
      <c r="B154" t="s">
        <v>104</v>
      </c>
      <c r="C154" t="s">
        <v>47</v>
      </c>
      <c r="D154" t="s">
        <v>48</v>
      </c>
      <c r="E154" s="2">
        <v>42519</v>
      </c>
      <c r="F154">
        <v>62798</v>
      </c>
      <c r="G154">
        <v>30</v>
      </c>
      <c r="H154" t="s">
        <v>17</v>
      </c>
    </row>
    <row r="155" spans="1:8" x14ac:dyDescent="0.25">
      <c r="A155" t="s">
        <v>281</v>
      </c>
      <c r="B155" t="s">
        <v>9</v>
      </c>
      <c r="C155" t="s">
        <v>25</v>
      </c>
      <c r="D155" t="s">
        <v>33</v>
      </c>
      <c r="E155" s="2">
        <v>44711</v>
      </c>
      <c r="F155">
        <v>47794</v>
      </c>
      <c r="G155">
        <v>73</v>
      </c>
      <c r="H155" t="s">
        <v>22</v>
      </c>
    </row>
    <row r="156" spans="1:8" x14ac:dyDescent="0.25">
      <c r="A156" t="s">
        <v>88</v>
      </c>
      <c r="B156" t="s">
        <v>24</v>
      </c>
      <c r="C156" t="s">
        <v>41</v>
      </c>
      <c r="D156" t="s">
        <v>44</v>
      </c>
      <c r="E156" s="2">
        <v>42202</v>
      </c>
      <c r="G156">
        <v>68</v>
      </c>
      <c r="H156" t="s">
        <v>12</v>
      </c>
    </row>
    <row r="157" spans="1:8" x14ac:dyDescent="0.25">
      <c r="A157" t="s">
        <v>282</v>
      </c>
      <c r="B157" t="s">
        <v>65</v>
      </c>
      <c r="C157" t="s">
        <v>41</v>
      </c>
      <c r="D157" t="s">
        <v>16</v>
      </c>
      <c r="E157" t="s">
        <v>283</v>
      </c>
      <c r="F157">
        <v>93094</v>
      </c>
      <c r="G157">
        <v>74</v>
      </c>
      <c r="H157" t="s">
        <v>12</v>
      </c>
    </row>
    <row r="158" spans="1:8" x14ac:dyDescent="0.25">
      <c r="A158" t="s">
        <v>284</v>
      </c>
      <c r="B158" t="s">
        <v>70</v>
      </c>
      <c r="C158" t="s">
        <v>10</v>
      </c>
      <c r="D158" t="s">
        <v>11</v>
      </c>
      <c r="E158" s="2">
        <v>44848</v>
      </c>
      <c r="F158" t="s">
        <v>285</v>
      </c>
      <c r="G158">
        <v>91</v>
      </c>
      <c r="H158"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1" sqref="B1"/>
    </sheetView>
  </sheetViews>
  <sheetFormatPr defaultRowHeight="15" x14ac:dyDescent="0.25"/>
  <cols>
    <col min="2" max="2" width="22.5703125" bestFit="1" customWidth="1"/>
  </cols>
  <sheetData>
    <row r="1" spans="1:2" x14ac:dyDescent="0.25">
      <c r="A1" s="1" t="s">
        <v>286</v>
      </c>
      <c r="B1" s="1" t="s">
        <v>287</v>
      </c>
    </row>
    <row r="2" spans="1:2" x14ac:dyDescent="0.25">
      <c r="A2" t="s">
        <v>96</v>
      </c>
      <c r="B2" t="s">
        <v>288</v>
      </c>
    </row>
    <row r="3" spans="1:2" x14ac:dyDescent="0.25">
      <c r="A3" t="s">
        <v>11</v>
      </c>
      <c r="B3" t="s">
        <v>289</v>
      </c>
    </row>
    <row r="4" spans="1:2" x14ac:dyDescent="0.25">
      <c r="A4" t="s">
        <v>26</v>
      </c>
      <c r="B4" t="s">
        <v>290</v>
      </c>
    </row>
    <row r="5" spans="1:2" x14ac:dyDescent="0.25">
      <c r="A5" t="s">
        <v>16</v>
      </c>
      <c r="B5" t="s">
        <v>291</v>
      </c>
    </row>
    <row r="6" spans="1:2" x14ac:dyDescent="0.25">
      <c r="A6" t="s">
        <v>44</v>
      </c>
      <c r="B6" t="s">
        <v>292</v>
      </c>
    </row>
    <row r="7" spans="1:2" x14ac:dyDescent="0.25">
      <c r="A7" t="s">
        <v>33</v>
      </c>
      <c r="B7" t="s">
        <v>293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1" sqref="D1"/>
    </sheetView>
  </sheetViews>
  <sheetFormatPr defaultRowHeight="15" x14ac:dyDescent="0.25"/>
  <cols>
    <col min="2" max="2" width="10.7109375" bestFit="1" customWidth="1"/>
    <col min="3" max="3" width="19.5703125" bestFit="1" customWidth="1"/>
    <col min="4" max="4" width="17.7109375" bestFit="1" customWidth="1"/>
  </cols>
  <sheetData>
    <row r="1" spans="1:4" x14ac:dyDescent="0.25">
      <c r="A1" s="1" t="s">
        <v>294</v>
      </c>
      <c r="B1" s="1" t="s">
        <v>295</v>
      </c>
      <c r="C1" s="1" t="s">
        <v>296</v>
      </c>
      <c r="D1" s="1" t="s">
        <v>297</v>
      </c>
    </row>
    <row r="2" spans="1:4" x14ac:dyDescent="0.25">
      <c r="A2">
        <v>0</v>
      </c>
      <c r="B2">
        <v>49</v>
      </c>
      <c r="C2" t="s">
        <v>298</v>
      </c>
      <c r="D2">
        <v>0</v>
      </c>
    </row>
    <row r="3" spans="1:4" x14ac:dyDescent="0.25">
      <c r="A3">
        <v>50</v>
      </c>
      <c r="B3">
        <v>69</v>
      </c>
      <c r="C3" t="s">
        <v>299</v>
      </c>
      <c r="D3">
        <v>0.02</v>
      </c>
    </row>
    <row r="4" spans="1:4" x14ac:dyDescent="0.25">
      <c r="A4">
        <v>70</v>
      </c>
      <c r="B4">
        <v>84</v>
      </c>
      <c r="C4" t="s">
        <v>300</v>
      </c>
      <c r="D4">
        <v>0.05</v>
      </c>
    </row>
    <row r="5" spans="1:4" x14ac:dyDescent="0.25">
      <c r="A5">
        <v>85</v>
      </c>
      <c r="B5">
        <v>94</v>
      </c>
      <c r="C5" t="s">
        <v>301</v>
      </c>
      <c r="D5">
        <v>0.08</v>
      </c>
    </row>
    <row r="6" spans="1:4" x14ac:dyDescent="0.25">
      <c r="A6">
        <v>95</v>
      </c>
      <c r="B6">
        <v>100</v>
      </c>
      <c r="C6" t="s">
        <v>302</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Analysis Chart</vt:lpstr>
      <vt:lpstr>Analysis</vt:lpstr>
      <vt:lpstr>Cleaned_Employee_Data </vt:lpstr>
      <vt:lpstr>Raw_Employee_Data</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AKOR</cp:lastModifiedBy>
  <dcterms:created xsi:type="dcterms:W3CDTF">2026-06-04T20:20:01Z</dcterms:created>
  <dcterms:modified xsi:type="dcterms:W3CDTF">2026-07-06T17:56:13Z</dcterms:modified>
</cp:coreProperties>
</file>